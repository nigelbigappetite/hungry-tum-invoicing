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2026-01-01 to 2026-01-31" sheetId="1" state="visible" r:id="rId2"/>
    <sheet name="Summary" sheetId="2" state="visible" r:id="rId3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<sst xmlns="http://schemas.openxmlformats.org/spreadsheetml/2006/main" count="400" uniqueCount="400">
  <si>
    <t xml:space="preserve">SLERP.</t>
  </si>
  <si>
    <t xml:space="preserve">Slerp Limited (10222686)</t>
  </si>
  <si>
    <t xml:space="preserve">STATEMENT - WING SHACK CO</t>
  </si>
  <si>
    <t xml:space="preserve">January 1 to January 31</t>
  </si>
  <si>
    <t xml:space="preserve">Generated on: 14 February 2026</t>
  </si>
  <si>
    <t xml:space="preserve">Summary</t>
  </si>
  <si>
    <t xml:space="preserve"/>
  </si>
  <si>
    <t xml:space="preserve">Order Summary - Count of Transactions by Type (after refunds)</t>
  </si>
  <si>
    <t xml:space="preserve">Gross Transaction Value (before refunds)</t>
  </si>
  <si>
    <t xml:space="preserve">Gross Transaction Value (after refunds)</t>
  </si>
  <si>
    <t xml:space="preserve">Pickup</t>
  </si>
  <si>
    <t xml:space="preserve">Delivery</t>
  </si>
  <si>
    <t xml:space="preserve">Total</t>
  </si>
  <si>
    <t xml:space="preserve">Fees &amp; Charges</t>
  </si>
  <si>
    <t xml:space="preserve">ASAP</t>
  </si>
  <si>
    <t xml:space="preserve">Slerp Commissions (inc. VAT)</t>
  </si>
  <si>
    <t xml:space="preserve">Scheduled Same-Day</t>
  </si>
  <si>
    <t xml:space="preserve">Slerp Courier Partner Fees (inc. VAT)</t>
  </si>
  <si>
    <t xml:space="preserve">Pre-Order</t>
  </si>
  <si>
    <t xml:space="preserve">Payment Fees</t>
  </si>
  <si>
    <t xml:space="preserve">Net Payable</t>
  </si>
  <si>
    <t xml:space="preserve">Completed orders</t>
  </si>
  <si>
    <t xml:space="preserve">Order Date</t>
  </si>
  <si>
    <t xml:space="preserve">Fulfillment date</t>
  </si>
  <si>
    <t xml:space="preserve">Location name</t>
  </si>
  <si>
    <t xml:space="preserve">Fulfillment type</t>
  </si>
  <si>
    <t xml:space="preserve">Order type</t>
  </si>
  <si>
    <t xml:space="preserve">Status</t>
  </si>
  <si>
    <t xml:space="preserve">Slerp ref (Id)</t>
  </si>
  <si>
    <t xml:space="preserve">Gross transaction value</t>
  </si>
  <si>
    <t xml:space="preserve">Gross Transaction value (after refunds)</t>
  </si>
  <si>
    <t xml:space="preserve">Product total</t>
  </si>
  <si>
    <t xml:space="preserve">Product VAT component</t>
  </si>
  <si>
    <t xml:space="preserve">Product discount applied</t>
  </si>
  <si>
    <t xml:space="preserve">Product total after discounts (GMV)**</t>
  </si>
  <si>
    <t xml:space="preserve">Gifting charge</t>
  </si>
  <si>
    <t xml:space="preserve">Additional store fee</t>
  </si>
  <si>
    <t xml:space="preserve">VAT component of Additional store fee</t>
  </si>
  <si>
    <t xml:space="preserve">Tips</t>
  </si>
  <si>
    <t xml:space="preserve">Refunds</t>
  </si>
  <si>
    <t xml:space="preserve">(A) Slerp Courier Partner Quoted Courier Fee Including Vat</t>
  </si>
  <si>
    <t xml:space="preserve">VAT component of Slerp Courier Partner Quoted Courier Fee</t>
  </si>
  <si>
    <t xml:space="preserve">Self-delivery Fee / Self-organised Fee including VAT</t>
  </si>
  <si>
    <t xml:space="preserve">VAT component of Self-delivery / Self-organised fee</t>
  </si>
  <si>
    <t xml:space="preserve">Delivery fees (charged to customer) pre-discount applied</t>
  </si>
  <si>
    <t xml:space="preserve">Delivery Subsidisation (charged to partner) pre-discount applied</t>
  </si>
  <si>
    <t xml:space="preserve">Discount code</t>
  </si>
  <si>
    <t xml:space="preserve">Delivery fee discount applied</t>
  </si>
  <si>
    <t xml:space="preserve">Tiered Delivery pricing percent %</t>
  </si>
  <si>
    <t xml:space="preserve">Tiered Delivery actual</t>
  </si>
  <si>
    <t xml:space="preserve">Delivery fees (charged to customer) post-discount applied</t>
  </si>
  <si>
    <t xml:space="preserve">VAT component of Delivery fees (charged to customer) post-discount applied</t>
  </si>
  <si>
    <t xml:space="preserve">Delivery Subsidisation (charged to partner) post-discount applied</t>
  </si>
  <si>
    <t xml:space="preserve">(B) Slerp Commission including VAT</t>
  </si>
  <si>
    <t xml:space="preserve">VAT component of Slerp Commission</t>
  </si>
  <si>
    <t xml:space="preserve">(C) Payment fee</t>
  </si>
  <si>
    <t xml:space="preserve">Total Captured by Slerp (A) + (B) + (C)</t>
  </si>
  <si>
    <t xml:space="preserve">Notes</t>
  </si>
  <si>
    <t xml:space="preserve">Courier reference</t>
  </si>
  <si>
    <t xml:space="preserve">Stripe payment reference</t>
  </si>
  <si>
    <t xml:space="preserve">Balance transaction (Id)</t>
  </si>
  <si>
    <t xml:space="preserve">Courier Type</t>
  </si>
  <si>
    <t xml:space="preserve">02/01/2026</t>
  </si>
  <si>
    <t xml:space="preserve">Loughton</t>
  </si>
  <si>
    <t xml:space="preserve">Scheduled same day</t>
  </si>
  <si>
    <t xml:space="preserve">fulfilled</t>
  </si>
  <si>
    <t xml:space="preserve">AQGDP4</t>
  </si>
  <si>
    <t xml:space="preserve">ch_3SlDeSGOs2bxG0Rw0OVBE8j3</t>
  </si>
  <si>
    <t xml:space="preserve">txn_3SlDeSGOs2bxG0Rw0Mp3wN7X</t>
  </si>
  <si>
    <t xml:space="preserve">Self Delivery / 3PL</t>
  </si>
  <si>
    <t xml:space="preserve">KTKFFZ</t>
  </si>
  <si>
    <t xml:space="preserve">JAN2026</t>
  </si>
  <si>
    <t xml:space="preserve">ch_3SlE1tGOs2bxG0Rw03RpiBCN</t>
  </si>
  <si>
    <t xml:space="preserve">txn_3SlE1tGOs2bxG0Rw0mOj4A0C</t>
  </si>
  <si>
    <t xml:space="preserve">03/01/2026</t>
  </si>
  <si>
    <t xml:space="preserve">6XQPK5</t>
  </si>
  <si>
    <t xml:space="preserve">6992701b-6fcc-417c-b36d-e0d910f5feae</t>
  </si>
  <si>
    <t xml:space="preserve">ch_3SlVvtGOs2bxG0Rw1AYNb4D9</t>
  </si>
  <si>
    <t xml:space="preserve">txn_3SlVvtGOs2bxG0Rw1h9DthKq</t>
  </si>
  <si>
    <t xml:space="preserve">Slerp Courier Partner - Bike/Moped</t>
  </si>
  <si>
    <t xml:space="preserve">04/01/2026</t>
  </si>
  <si>
    <t xml:space="preserve">G6W6Z4</t>
  </si>
  <si>
    <t xml:space="preserve">ch_3SlwFCGOs2bxG0Rw0F1XpcsO</t>
  </si>
  <si>
    <t xml:space="preserve">txn_3SlwFCGOs2bxG0Rw0OCfxso9</t>
  </si>
  <si>
    <t xml:space="preserve">05/01/2026</t>
  </si>
  <si>
    <t xml:space="preserve">J6V4CK</t>
  </si>
  <si>
    <t xml:space="preserve">879abacc-29de-4a61-9910-175a2998e24c</t>
  </si>
  <si>
    <t xml:space="preserve">ch_3SmIxyGOs2bxG0Rw1pmHFmZ1</t>
  </si>
  <si>
    <t xml:space="preserve">txn_3SmIxyGOs2bxG0Rw17TIukLs</t>
  </si>
  <si>
    <t xml:space="preserve">GT2CD6</t>
  </si>
  <si>
    <t xml:space="preserve">AFLAK2</t>
  </si>
  <si>
    <t xml:space="preserve">ch_3SmJRqGOs2bxG0Rw0PArymok</t>
  </si>
  <si>
    <t xml:space="preserve">txn_3SmJRqGOs2bxG0Rw06xFWItU</t>
  </si>
  <si>
    <t xml:space="preserve">06/01/2026</t>
  </si>
  <si>
    <t xml:space="preserve">Chatham</t>
  </si>
  <si>
    <t xml:space="preserve">NGGC5J</t>
  </si>
  <si>
    <t xml:space="preserve">CRISPY6</t>
  </si>
  <si>
    <t xml:space="preserve">65279e13-6864-4fe4-8011-ebc8e28c6f09</t>
  </si>
  <si>
    <t xml:space="preserve">ch_3SmdjJGOs2bxG0Rw08uchZ73</t>
  </si>
  <si>
    <t xml:space="preserve">txn_3SmdjJGOs2bxG0Rw0QAZpkQc</t>
  </si>
  <si>
    <t xml:space="preserve">07/01/2026</t>
  </si>
  <si>
    <t xml:space="preserve">JBZ5EZ</t>
  </si>
  <si>
    <t xml:space="preserve">fda9cb8e-cbb0-47ec-8d30-b54ee1e0990a</t>
  </si>
  <si>
    <t xml:space="preserve">ch_3SmwM8GOs2bxG0Rw1DO0LVvm</t>
  </si>
  <si>
    <t xml:space="preserve">txn_3SmwM8GOs2bxG0Rw15acbBwd</t>
  </si>
  <si>
    <t xml:space="preserve">ADHFZQ</t>
  </si>
  <si>
    <t xml:space="preserve">ch_3Sn0FmGOs2bxG0Rw0tJByc7N</t>
  </si>
  <si>
    <t xml:space="preserve">txn_3Sn0FmGOs2bxG0Rw05JLiXL2</t>
  </si>
  <si>
    <t xml:space="preserve">YRUGXW</t>
  </si>
  <si>
    <t xml:space="preserve">431dd96a-01f8-4bb5-8ecd-aa742bd887ce</t>
  </si>
  <si>
    <t xml:space="preserve">ch_3Sn1UNGOs2bxG0Rw0WDragVp</t>
  </si>
  <si>
    <t xml:space="preserve">txn_3Sn1UNGOs2bxG0Rw0rkCnysi</t>
  </si>
  <si>
    <t xml:space="preserve">Slerp Courier Partner - Car/Van</t>
  </si>
  <si>
    <t xml:space="preserve">HCW5QM</t>
  </si>
  <si>
    <t xml:space="preserve">AQ3M6K</t>
  </si>
  <si>
    <t xml:space="preserve">ch_3Sn1inGOs2bxG0Rw0Fgn08tn</t>
  </si>
  <si>
    <t xml:space="preserve">txn_3Sn1inGOs2bxG0Rw0pAwUQDp</t>
  </si>
  <si>
    <t xml:space="preserve">ATGQXV</t>
  </si>
  <si>
    <t xml:space="preserve">d96c4a04-9d4c-435a-af05-c9e8843306d5</t>
  </si>
  <si>
    <t xml:space="preserve">ch_3Sn1sIGOs2bxG0Rw1zqT9Ar3</t>
  </si>
  <si>
    <t xml:space="preserve">txn_3Sn1sIGOs2bxG0Rw1A27EZuz</t>
  </si>
  <si>
    <t xml:space="preserve">AGQCW3</t>
  </si>
  <si>
    <t xml:space="preserve">e5e46ba8-8a46-48f0-8e40-8a2338c15ce8</t>
  </si>
  <si>
    <t xml:space="preserve">ch_3Sn1vsGOs2bxG0Rw0Tm8i6nv</t>
  </si>
  <si>
    <t xml:space="preserve">txn_3Sn1vsGOs2bxG0Rw06YB7u3B</t>
  </si>
  <si>
    <t xml:space="preserve">XRU7PR</t>
  </si>
  <si>
    <t xml:space="preserve">H66ADR</t>
  </si>
  <si>
    <t xml:space="preserve">ef938c78-c2a3-446e-a45e-4b62e09c5914</t>
  </si>
  <si>
    <t xml:space="preserve">ch_3Sn2NnGOs2bxG0Rw1rSVHlrx</t>
  </si>
  <si>
    <t xml:space="preserve">txn_3Sn2NnGOs2bxG0Rw1dJQtPiE</t>
  </si>
  <si>
    <t xml:space="preserve">QTV7GG</t>
  </si>
  <si>
    <t xml:space="preserve">ch_3Sn2ORGOs2bxG0Rw0NKqG77T</t>
  </si>
  <si>
    <t xml:space="preserve">txn_3Sn2ORGOs2bxG0Rw0DfVBbtF</t>
  </si>
  <si>
    <t xml:space="preserve">08/01/2026</t>
  </si>
  <si>
    <t xml:space="preserve">TPWY4Q</t>
  </si>
  <si>
    <t xml:space="preserve">ch_3SnPMuGOs2bxG0Rw0vOmWcst</t>
  </si>
  <si>
    <t xml:space="preserve">txn_3SnPMuGOs2bxG0Rw0zFMiLil</t>
  </si>
  <si>
    <t xml:space="preserve">10/01/2026</t>
  </si>
  <si>
    <t xml:space="preserve">DLKEUX</t>
  </si>
  <si>
    <t xml:space="preserve">SPEND30SAVE802</t>
  </si>
  <si>
    <t xml:space="preserve">ch_3So8MKGOs2bxG0Rw108qvya2</t>
  </si>
  <si>
    <t xml:space="preserve">txn_3So8MKGOs2bxG0Rw1YnoUkjQ</t>
  </si>
  <si>
    <t xml:space="preserve">ZP3U5F</t>
  </si>
  <si>
    <t xml:space="preserve">ch_3So8bZGOs2bxG0Rw1KQX6TTp</t>
  </si>
  <si>
    <t xml:space="preserve">txn_3So8bZGOs2bxG0Rw1swRHRx5</t>
  </si>
  <si>
    <t xml:space="preserve">11/01/2026</t>
  </si>
  <si>
    <t xml:space="preserve">CG3L6L</t>
  </si>
  <si>
    <t xml:space="preserve">ch_3SoUl5GOs2bxG0Rw0QsgC5w5</t>
  </si>
  <si>
    <t xml:space="preserve">txn_3SoUl5GOs2bxG0Rw0vio2Mui</t>
  </si>
  <si>
    <t xml:space="preserve">2MPJ7B</t>
  </si>
  <si>
    <t xml:space="preserve">ch_3SoV8hGOs2bxG0Rw19wz4noB</t>
  </si>
  <si>
    <t xml:space="preserve">txn_3SoV8hGOs2bxG0Rw1V5n7cOy</t>
  </si>
  <si>
    <t xml:space="preserve">GMGESW</t>
  </si>
  <si>
    <t xml:space="preserve">ch_3SoVHtGOs2bxG0Rw0tAig5Dx</t>
  </si>
  <si>
    <t xml:space="preserve">txn_3SoVHtGOs2bxG0Rw0CgEnyzu</t>
  </si>
  <si>
    <t xml:space="preserve">12/01/2026</t>
  </si>
  <si>
    <t xml:space="preserve">4PKYLR</t>
  </si>
  <si>
    <t xml:space="preserve">RUUDTG</t>
  </si>
  <si>
    <t xml:space="preserve">ch_3SopoxGOs2bxG0Rw0oYHRWpt</t>
  </si>
  <si>
    <t xml:space="preserve">txn_3SopoxGOs2bxG0Rw0Ybjme2N</t>
  </si>
  <si>
    <t xml:space="preserve">VJSJJW</t>
  </si>
  <si>
    <t xml:space="preserve">cb32eb4f-6a0b-4373-bea6-32dfeeb8d325</t>
  </si>
  <si>
    <t xml:space="preserve">ch_3Soqj4GOs2bxG0Rw161lPm9x</t>
  </si>
  <si>
    <t xml:space="preserve">txn_3Soqj4GOs2bxG0Rw1SU4tIo5</t>
  </si>
  <si>
    <t xml:space="preserve">14/01/2026</t>
  </si>
  <si>
    <t xml:space="preserve">Maidstone</t>
  </si>
  <si>
    <t xml:space="preserve">VZMNAW</t>
  </si>
  <si>
    <t xml:space="preserve">ch_3SpTjCGOs2bxG0Rw1cg06jpR</t>
  </si>
  <si>
    <t xml:space="preserve">txn_3SpTjCGOs2bxG0Rw1XOnUky2</t>
  </si>
  <si>
    <t xml:space="preserve">JTKQPZ</t>
  </si>
  <si>
    <t xml:space="preserve">Q7V2T7</t>
  </si>
  <si>
    <t xml:space="preserve">850d4d22-002a-4eff-8d4f-013e9844ccd8</t>
  </si>
  <si>
    <t xml:space="preserve">ch_3SpTpBGOs2bxG0Rw15p1pdvu</t>
  </si>
  <si>
    <t xml:space="preserve">txn_3SpTpBGOs2bxG0Rw1INIlsi3</t>
  </si>
  <si>
    <t xml:space="preserve">VXAYJ5</t>
  </si>
  <si>
    <t xml:space="preserve">ch_3SpYbDGOs2bxG0Rw08S05uY7</t>
  </si>
  <si>
    <t xml:space="preserve">txn_3SpYbDGOs2bxG0Rw0ZeEAbU6</t>
  </si>
  <si>
    <t xml:space="preserve">CT6BQ7</t>
  </si>
  <si>
    <t xml:space="preserve">ch_3SpXnUGOs2bxG0Rw1geLxMKp</t>
  </si>
  <si>
    <t xml:space="preserve">txn_3SpXnUGOs2bxG0Rw1EbH8eSs</t>
  </si>
  <si>
    <t xml:space="preserve">SJBGAY</t>
  </si>
  <si>
    <t xml:space="preserve">ch_3SpYmsGOs2bxG0Rw0umE7114</t>
  </si>
  <si>
    <t xml:space="preserve">txn_3SpYmsGOs2bxG0Rw08bzW2yq</t>
  </si>
  <si>
    <t xml:space="preserve">TAZWGU</t>
  </si>
  <si>
    <t xml:space="preserve">aa82e992-8d4c-46e8-a73f-e746b3f2faee</t>
  </si>
  <si>
    <t xml:space="preserve">ch_3SpaxkGOs2bxG0Rw1TZDw0AP</t>
  </si>
  <si>
    <t xml:space="preserve">txn_3SpaxkGOs2bxG0Rw1Yvt7ccb</t>
  </si>
  <si>
    <t xml:space="preserve">BSDWNA</t>
  </si>
  <si>
    <t xml:space="preserve">2339bf0f-cfbf-4572-af13-fb183d917433</t>
  </si>
  <si>
    <t xml:space="preserve">ch_3SpbKbGOs2bxG0Rw0HCgpqn0</t>
  </si>
  <si>
    <t xml:space="preserve">txn_3SpbKbGOs2bxG0Rw0N8yFsVX</t>
  </si>
  <si>
    <t xml:space="preserve">16/01/2026</t>
  </si>
  <si>
    <t xml:space="preserve">PMTPYD</t>
  </si>
  <si>
    <t xml:space="preserve">d794a450-0d7b-4979-b9c8-3e39af205d13</t>
  </si>
  <si>
    <t xml:space="preserve">ch_3SqGWdGOs2bxG0Rw1Sox3dNh</t>
  </si>
  <si>
    <t xml:space="preserve">txn_3SqGWdGOs2bxG0Rw1zdMkoqM</t>
  </si>
  <si>
    <t xml:space="preserve">26QNC4</t>
  </si>
  <si>
    <t xml:space="preserve">e9ade47e-f683-4a78-8dc4-20ccb019b83d</t>
  </si>
  <si>
    <t xml:space="preserve">ch_3SqIArGOs2bxG0Rw0IAfWHuu</t>
  </si>
  <si>
    <t xml:space="preserve">txn_3SqIArGOs2bxG0Rw0R9Bsn07</t>
  </si>
  <si>
    <t xml:space="preserve">MCETFZ</t>
  </si>
  <si>
    <t xml:space="preserve">ch_3SqKqfGOs2bxG0Rw0G7JXuo0</t>
  </si>
  <si>
    <t xml:space="preserve">txn_3SqKqfGOs2bxG0Rw0XlBrVgM</t>
  </si>
  <si>
    <t xml:space="preserve">17/01/2026</t>
  </si>
  <si>
    <t xml:space="preserve">YN4YWM</t>
  </si>
  <si>
    <t xml:space="preserve">ch_3SqZixGOs2bxG0Rw0d5ngiAV</t>
  </si>
  <si>
    <t xml:space="preserve">txn_3SqZixGOs2bxG0Rw0ElxloMs</t>
  </si>
  <si>
    <t xml:space="preserve">4YCBS6</t>
  </si>
  <si>
    <t xml:space="preserve">ch_3SqZuoGOs2bxG0Rw084cyxTU</t>
  </si>
  <si>
    <t xml:space="preserve">txn_3SqZuoGOs2bxG0Rw00jYqKxx</t>
  </si>
  <si>
    <t xml:space="preserve">XSJ774</t>
  </si>
  <si>
    <t xml:space="preserve">ch_3SqZviGOs2bxG0Rw1PdpDYle</t>
  </si>
  <si>
    <t xml:space="preserve">txn_3SqZviGOs2bxG0Rw1ueuXR1Q</t>
  </si>
  <si>
    <t xml:space="preserve">ZR2Q52</t>
  </si>
  <si>
    <t xml:space="preserve">15132e91-6150-4405-92f4-0cff1ab4ad3b</t>
  </si>
  <si>
    <t xml:space="preserve">ch_3SqcwXGOs2bxG0Rw1bsU9H2H</t>
  </si>
  <si>
    <t xml:space="preserve">txn_3SqcwXGOs2bxG0Rw13AadIWw</t>
  </si>
  <si>
    <t xml:space="preserve">18/01/2026</t>
  </si>
  <si>
    <t xml:space="preserve">GFXPVQ</t>
  </si>
  <si>
    <t xml:space="preserve">84635c87-eba8-4024-b277-e3f75bc046c5</t>
  </si>
  <si>
    <t xml:space="preserve">ch_3SqzyCGOs2bxG0Rw0d3GYfHv</t>
  </si>
  <si>
    <t xml:space="preserve">txn_3SqzyCGOs2bxG0Rw0I9E7gUf</t>
  </si>
  <si>
    <t xml:space="preserve">19/01/2026</t>
  </si>
  <si>
    <t xml:space="preserve">27WCYP</t>
  </si>
  <si>
    <t xml:space="preserve">ch_3SrN8iGOs2bxG0Rw1LhgbdVb</t>
  </si>
  <si>
    <t xml:space="preserve">txn_3SrN8iGOs2bxG0Rw1jv6QqCQ</t>
  </si>
  <si>
    <t xml:space="preserve">GVDAVT</t>
  </si>
  <si>
    <t xml:space="preserve">38c54130-77ff-4c05-8280-3466e1284b01</t>
  </si>
  <si>
    <t xml:space="preserve">ch_3SrO30GOs2bxG0Rw1kgJVYu9</t>
  </si>
  <si>
    <t xml:space="preserve">txn_3SrO30GOs2bxG0Rw1dYqUWdB</t>
  </si>
  <si>
    <t xml:space="preserve">20/01/2026</t>
  </si>
  <si>
    <t xml:space="preserve">WCTJW6</t>
  </si>
  <si>
    <t xml:space="preserve">ch_3SrjinGOs2bxG0Rw1g9AvT1C</t>
  </si>
  <si>
    <t xml:space="preserve">txn_3SrjinGOs2bxG0Rw11juUAG3</t>
  </si>
  <si>
    <t xml:space="preserve">21/01/2026</t>
  </si>
  <si>
    <t xml:space="preserve">FF7KK5</t>
  </si>
  <si>
    <t xml:space="preserve">ch_3SrzNQGOs2bxG0Rw0G7OphvS</t>
  </si>
  <si>
    <t xml:space="preserve">txn_3SrzNQGOs2bxG0Rw01jAh84V</t>
  </si>
  <si>
    <t xml:space="preserve">Bethnal Green</t>
  </si>
  <si>
    <t xml:space="preserve">7PV462</t>
  </si>
  <si>
    <t xml:space="preserve">JERRELLSHACK3</t>
  </si>
  <si>
    <t xml:space="preserve">a86d2626-2c57-459b-bbda-2ef5bea7f64b</t>
  </si>
  <si>
    <t xml:space="preserve">ch_3Ss4GRGOs2bxG0Rw02N8Jlll</t>
  </si>
  <si>
    <t xml:space="preserve">txn_3Ss4GRGOs2bxG0Rw0syYz3L6</t>
  </si>
  <si>
    <t xml:space="preserve">THX4ZW</t>
  </si>
  <si>
    <t xml:space="preserve">3ZYLMG</t>
  </si>
  <si>
    <t xml:space="preserve">ch_3Ss5OyGOs2bxG0Rw0M5EgsxD</t>
  </si>
  <si>
    <t xml:space="preserve">txn_3Ss5OyGOs2bxG0Rw0hzV1rv6</t>
  </si>
  <si>
    <t xml:space="preserve">TZBLEZ</t>
  </si>
  <si>
    <t xml:space="preserve">ch_3Ss5j2GOs2bxG0Rw0lJmrgYr</t>
  </si>
  <si>
    <t xml:space="preserve">txn_3Ss5j2GOs2bxG0Rw0zt9OQTl</t>
  </si>
  <si>
    <t xml:space="preserve">TSBDBA</t>
  </si>
  <si>
    <t xml:space="preserve">ch_3Ss5roGOs2bxG0Rw0AID20At</t>
  </si>
  <si>
    <t xml:space="preserve">txn_3Ss5roGOs2bxG0Rw0c6Y3yM3</t>
  </si>
  <si>
    <t xml:space="preserve">EEDV4A</t>
  </si>
  <si>
    <t xml:space="preserve">c9ef052d-5d79-4a2d-8ba6-c0d8799feaf0</t>
  </si>
  <si>
    <t xml:space="preserve">ch_3Ss6W0GOs2bxG0Rw1St2q5BK</t>
  </si>
  <si>
    <t xml:space="preserve">txn_3Ss6W0GOs2bxG0Rw1u6ACIEr</t>
  </si>
  <si>
    <t xml:space="preserve">2P7WSS</t>
  </si>
  <si>
    <t xml:space="preserve">ch_3Ss6XpGOs2bxG0Rw01eA9QYK</t>
  </si>
  <si>
    <t xml:space="preserve">txn_3Ss6XpGOs2bxG0Rw0ggnlDvq</t>
  </si>
  <si>
    <t xml:space="preserve">ZLABSA</t>
  </si>
  <si>
    <t xml:space="preserve">ch_3Ss6o0GOs2bxG0Rw0nqsYd2c</t>
  </si>
  <si>
    <t xml:space="preserve">txn_3Ss6o0GOs2bxG0Rw0LC1fppI</t>
  </si>
  <si>
    <t xml:space="preserve">D5W4VR</t>
  </si>
  <si>
    <t xml:space="preserve">ch_3Ss6q0GOs2bxG0Rw0x3Fo80Y</t>
  </si>
  <si>
    <t xml:space="preserve">txn_3Ss6q0GOs2bxG0Rw0gvJHXvK</t>
  </si>
  <si>
    <t xml:space="preserve">4ZKG2N</t>
  </si>
  <si>
    <t xml:space="preserve">WINGMASTER40</t>
  </si>
  <si>
    <t xml:space="preserve">ch_3Ss6pEGOs2bxG0Rw1snPS2tB</t>
  </si>
  <si>
    <t xml:space="preserve">txn_3Ss6pEGOs2bxG0Rw1lNAqTIk</t>
  </si>
  <si>
    <t xml:space="preserve">EYLEST</t>
  </si>
  <si>
    <t xml:space="preserve">BRXYGL</t>
  </si>
  <si>
    <t xml:space="preserve">ch_3Ss86sGOs2bxG0Rw04khYmRT</t>
  </si>
  <si>
    <t xml:space="preserve">txn_3Ss86sGOs2bxG0Rw0gILEoNi</t>
  </si>
  <si>
    <t xml:space="preserve">24/01/2026</t>
  </si>
  <si>
    <t xml:space="preserve">KHBJYV</t>
  </si>
  <si>
    <t xml:space="preserve">ch_3StB7oGOs2bxG0Rw067ttV4K</t>
  </si>
  <si>
    <t xml:space="preserve">txn_3StB7oGOs2bxG0Rw0fm25clS</t>
  </si>
  <si>
    <t xml:space="preserve">RPDGZ2</t>
  </si>
  <si>
    <t xml:space="preserve">FREEDELIVERYALLWEEEKEND</t>
  </si>
  <si>
    <t xml:space="preserve">1ae216e7-8bb2-4d22-b21d-d15ac5d36c53</t>
  </si>
  <si>
    <t xml:space="preserve">ch_3StBj7GOs2bxG0Rw1mrT2KHl</t>
  </si>
  <si>
    <t xml:space="preserve">txn_3StBj7GOs2bxG0Rw1lSYbPd6</t>
  </si>
  <si>
    <t xml:space="preserve">RKUPCB</t>
  </si>
  <si>
    <t xml:space="preserve">ch_3StC2qGOs2bxG0Rw1I1yrAkb</t>
  </si>
  <si>
    <t xml:space="preserve">txn_3StC2qGOs2bxG0Rw11FqPHVo</t>
  </si>
  <si>
    <t xml:space="preserve">25/01/2026</t>
  </si>
  <si>
    <t xml:space="preserve">WTQFGT</t>
  </si>
  <si>
    <t xml:space="preserve">2b486dd3-e62c-4cf0-b940-0514416cc2c4</t>
  </si>
  <si>
    <t xml:space="preserve">ch_3StZHHGOs2bxG0Rw0bYmU2Yk</t>
  </si>
  <si>
    <t xml:space="preserve">txn_3StZHHGOs2bxG0Rw0SkeF5xE</t>
  </si>
  <si>
    <t xml:space="preserve">2GH2RY</t>
  </si>
  <si>
    <t xml:space="preserve">6e934ae8-d218-4d41-a4be-0f31eea07a60</t>
  </si>
  <si>
    <t xml:space="preserve">ch_3StaSrGOs2bxG0Rw1CeuBA0o</t>
  </si>
  <si>
    <t xml:space="preserve">txn_3StaSrGOs2bxG0Rw1yyWhRRC</t>
  </si>
  <si>
    <t xml:space="preserve">27/01/2026</t>
  </si>
  <si>
    <t xml:space="preserve">F7ZDJ4</t>
  </si>
  <si>
    <t xml:space="preserve">ch_3SuGOUGOs2bxG0Rw0Wpn9kvp</t>
  </si>
  <si>
    <t xml:space="preserve">txn_3SuGOUGOs2bxG0Rw0WKxfPlC</t>
  </si>
  <si>
    <t xml:space="preserve">28/01/2026</t>
  </si>
  <si>
    <t xml:space="preserve">S7QHK5</t>
  </si>
  <si>
    <t xml:space="preserve">NNE27G</t>
  </si>
  <si>
    <t xml:space="preserve">ch_3SuXo3GOs2bxG0Rw08VZZtR9</t>
  </si>
  <si>
    <t xml:space="preserve">txn_3SuXo3GOs2bxG0Rw0ajRSu2Z</t>
  </si>
  <si>
    <t xml:space="preserve">BUJNLD</t>
  </si>
  <si>
    <t xml:space="preserve">ch_3SuYMtGOs2bxG0Rw0t7wuzOT</t>
  </si>
  <si>
    <t xml:space="preserve">txn_3SuYMtGOs2bxG0Rw0lvgrTZ5</t>
  </si>
  <si>
    <t xml:space="preserve">QWKLYX</t>
  </si>
  <si>
    <t xml:space="preserve">ch_3SuaBJGOs2bxG0Rw0FcV1epz</t>
  </si>
  <si>
    <t xml:space="preserve">txn_3SuaBJGOs2bxG0Rw0vSpFnB8</t>
  </si>
  <si>
    <t xml:space="preserve">CSA6QJ</t>
  </si>
  <si>
    <t xml:space="preserve">ch_3SubTMGOs2bxG0Rw1tFmTt0x</t>
  </si>
  <si>
    <t xml:space="preserve">txn_3SubTMGOs2bxG0Rw1k89cO34</t>
  </si>
  <si>
    <t xml:space="preserve">WLSVQR</t>
  </si>
  <si>
    <t xml:space="preserve">ch_3SudLBGOs2bxG0Rw1mA6L1sg</t>
  </si>
  <si>
    <t xml:space="preserve">txn_3SudLBGOs2bxG0Rw14usYAQB</t>
  </si>
  <si>
    <t xml:space="preserve">5NQECW</t>
  </si>
  <si>
    <t xml:space="preserve">ea907f25-d179-4f1c-a806-b2723ac61030</t>
  </si>
  <si>
    <t xml:space="preserve">ch_3SuddbGOs2bxG0Rw0ZVDHtkg</t>
  </si>
  <si>
    <t xml:space="preserve">txn_3SuddbGOs2bxG0Rw0sCFnxmz</t>
  </si>
  <si>
    <t xml:space="preserve">7TAGQP</t>
  </si>
  <si>
    <t xml:space="preserve">c0444362-edd2-4a17-98e0-95d2c88e6223</t>
  </si>
  <si>
    <t xml:space="preserve">ch_3Sue4AGOs2bxG0Rw0yymSN1l</t>
  </si>
  <si>
    <t xml:space="preserve">txn_3Sue4AGOs2bxG0Rw0gBb5nkb</t>
  </si>
  <si>
    <t xml:space="preserve">30/01/2026</t>
  </si>
  <si>
    <t xml:space="preserve">RJYHQY</t>
  </si>
  <si>
    <t xml:space="preserve">ch_3SvLnjGOs2bxG0Rw0RZyn00x</t>
  </si>
  <si>
    <t xml:space="preserve">txn_3SvLnjGOs2bxG0Rw065b4lna</t>
  </si>
  <si>
    <t xml:space="preserve">31/01/2026</t>
  </si>
  <si>
    <t xml:space="preserve">PHPSH5</t>
  </si>
  <si>
    <t xml:space="preserve">24e16596-056c-4b26-96cd-c2153bcfef03</t>
  </si>
  <si>
    <t xml:space="preserve">ch_3SvcuPGOs2bxG0Rw0592yawb</t>
  </si>
  <si>
    <t xml:space="preserve">txn_3SvcuPGOs2bxG0Rw0gqyAWRh</t>
  </si>
  <si>
    <t xml:space="preserve">LPQDEY</t>
  </si>
  <si>
    <t xml:space="preserve">021534e4-a28c-4551-ba02-c3ad36a2e3ff</t>
  </si>
  <si>
    <t xml:space="preserve">ch_3SvkFlGOs2bxG0Rw0FA4wuJ2</t>
  </si>
  <si>
    <t xml:space="preserve">txn_3SvkFlGOs2bxG0Rw0RnLgM83</t>
  </si>
  <si>
    <t xml:space="preserve">4F5UBD</t>
  </si>
  <si>
    <t xml:space="preserve">5fbb24d7-d8da-412b-a7f9-5fde0be6e827</t>
  </si>
  <si>
    <t xml:space="preserve">ch_3Svls4GOs2bxG0Rw0sUjfx5I</t>
  </si>
  <si>
    <t xml:space="preserve">txn_3Svls4GOs2bxG0Rw0bdGmDiL</t>
  </si>
  <si>
    <t xml:space="preserve">Totals</t>
  </si>
  <si>
    <t xml:space="preserve">Full Refunded/Rejected orders</t>
  </si>
  <si>
    <t xml:space="preserve">refunded</t>
  </si>
  <si>
    <t xml:space="preserve">U23AHY</t>
  </si>
  <si>
    <t xml:space="preserve">jerrelshack1</t>
  </si>
  <si>
    <t xml:space="preserve">6023c9f5-b6d3-460d-a4e2-9d7488f8c160</t>
  </si>
  <si>
    <t xml:space="preserve">ch_3SpV6zGOs2bxG0Rw1r82A3Z1</t>
  </si>
  <si>
    <t xml:space="preserve">txn_3SpV6zGOs2bxG0Rw1AgAt98c</t>
  </si>
  <si>
    <t xml:space="preserve">rejected</t>
  </si>
  <si>
    <t xml:space="preserve">TSU3YN</t>
  </si>
  <si>
    <t xml:space="preserve">JERRELLSHACK2</t>
  </si>
  <si>
    <t xml:space="preserve">ch_3SqCxrGOs2bxG0Rw19xiGyaL</t>
  </si>
  <si>
    <t xml:space="preserve">txn_3SqCxrGOs2bxG0Rw14WHiYqj</t>
  </si>
  <si>
    <t xml:space="preserve">Luton</t>
  </si>
  <si>
    <t xml:space="preserve">5RBFEN</t>
  </si>
  <si>
    <t xml:space="preserve">0f744f09-6bdf-4203-9786-784d5de5b051</t>
  </si>
  <si>
    <t xml:space="preserve">ch_3SqyIZGOs2bxG0Rw1meDpXWi</t>
  </si>
  <si>
    <t xml:space="preserve">txn_3SqyIZGOs2bxG0Rw1FoDbyCB</t>
  </si>
  <si>
    <t xml:space="preserve">5YBD4D</t>
  </si>
  <si>
    <t xml:space="preserve">ch_3Sqz4MGOs2bxG0Rw0c08qDtv</t>
  </si>
  <si>
    <t xml:space="preserve">txn_3Sqz4MGOs2bxG0Rw0RmcvqdS</t>
  </si>
  <si>
    <t xml:space="preserve">accepted</t>
  </si>
  <si>
    <t xml:space="preserve">2NLJBV</t>
  </si>
  <si>
    <t xml:space="preserve">ch_3Ss67dGOs2bxG0Rw19t1Tzky</t>
  </si>
  <si>
    <t xml:space="preserve">txn_3Ss67dGOs2bxG0Rw126t84kv</t>
  </si>
  <si>
    <t xml:space="preserve">QBBTW7</t>
  </si>
  <si>
    <t xml:space="preserve">9698bbf2-1365-436d-998f-7e34aa97db8f</t>
  </si>
  <si>
    <t xml:space="preserve">ch_3Ss6CGGOs2bxG0Rw0q4ltrYj</t>
  </si>
  <si>
    <t xml:space="preserve">txn_3Ss6CGGOs2bxG0Rw0A5BHgvz</t>
  </si>
  <si>
    <t xml:space="preserve">23/01/2026</t>
  </si>
  <si>
    <t xml:space="preserve">F4NJPJ</t>
  </si>
  <si>
    <t xml:space="preserve">6819fae7-640c-4b4b-8585-dc832b527a57</t>
  </si>
  <si>
    <t xml:space="preserve">ch_3Ssr1fGOs2bxG0Rw0A73L86i</t>
  </si>
  <si>
    <t xml:space="preserve">txn_3Ssr1fGOs2bxG0Rw0ClvrmKb</t>
  </si>
  <si>
    <t xml:space="preserve">Partial Refunded orders</t>
  </si>
  <si>
    <t xml:space="preserve">*Some Slerp Courier Partners charge VAT. This is the weighted average based on vehicle type and usage across the platform.</t>
  </si>
  <si>
    <t xml:space="preserve">This is a summary based on your download. Please note the period it reflects.</t>
  </si>
  <si>
    <t xml:space="preserve">This is not a VAT invoice. To see invoices and receipts, please login in to Controls &gt; Settings &gt; Accounts &amp; Billing</t>
  </si>
  <si>
    <t xml:space="preserve">Period:</t>
  </si>
  <si>
    <t xml:space="preserve">Company name:</t>
  </si>
  <si>
    <t xml:space="preserve">Wing Shack Co</t>
  </si>
  <si>
    <t xml:space="preserve">NET</t>
  </si>
  <si>
    <t xml:space="preserve">VAT paid for Slerp</t>
  </si>
  <si>
    <t xml:space="preserve">Slerp Fees &amp; Charges</t>
  </si>
  <si>
    <t xml:space="preserve">Slerp Commissions:</t>
  </si>
  <si>
    <t xml:space="preserve">Payment Fees (no VAT applicable):</t>
  </si>
  <si>
    <t xml:space="preserve">Slerp Courier Partner Fees:</t>
  </si>
  <si>
    <t xml:space="preserve">Total Fees &amp; Charges</t>
  </si>
  <si>
    <t xml:space="preserve">Goods and Services</t>
  </si>
  <si>
    <t xml:space="preserve">VAT Collected</t>
  </si>
  <si>
    <t xml:space="preserve">Products:</t>
  </si>
  <si>
    <t xml:space="preserve">Self-delivery / Self-organised fees:</t>
  </si>
  <si>
    <t xml:space="preserve">Additional store fee:</t>
  </si>
  <si>
    <t xml:space="preserve">Total Goods and Services:</t>
  </si>
  <si>
    <t xml:space="preserve">Total VAT paid for Slerp</t>
  </si>
  <si>
    <t xml:space="preserve">Total Vat Collected from End-Customer</t>
  </si>
  <si>
    <t xml:space="preserve">*Figures may change based on when the Statement is generated as order statuses change. I.e. Refunds</t>
  </si>
  <si>
    <t xml:space="preserve">**Figures exclude fully refunded orders, additional post-transaction charges (i.e. additional courier charges), as well as monthly SaaS charges.</t>
  </si>
</sst>
</file>

<file path=xl/styles.xml><?xml version="1.0" encoding="utf-8"?>
<styleSheet xmlns="http://schemas.openxmlformats.org/spreadsheetml/2006/main">
  <numFmts count="1">
    <numFmt numFmtId="164" formatCode="_(&quot;£&quot;* #,##0.00_);_(&quot;£&quot;* -#,##0.00_);_(&quot;£&quot;* &quot;-&quot;??_);_(@_)"/>
  </numFmts>
  <fonts count="13">
    <font/>
    <font/>
    <font>
      <b val="1"/>
    </font>
    <font/>
    <font>
      <b val="1"/>
    </font>
    <font>
      <b val="1"/>
    </font>
    <font>
      <sz val="10"/>
    </font>
    <font/>
    <font/>
    <font/>
    <font>
      <b val="1"/>
    </font>
    <font>
      <b val="1"/>
      <sz val="72"/>
      <name val="Source Sans Pro"/>
    </font>
    <font>
      <sz val="28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9">
    <border/>
    <border diagonalUp="false" diagonalDown="false">
      <left/>
      <right/>
      <top/>
      <bottom style="thin"/>
      <diagonal/>
    </border>
    <border diagonalUp="false" diagonalDown="false">
      <left/>
      <right/>
      <top/>
      <bottom style="thin">
        <color rgb="FF000000"/>
      </bottom>
      <diagonal/>
    </border>
    <border diagonalUp="false" diagonalDown="false">
      <left/>
      <right/>
      <top/>
      <bottom/>
      <diagonal/>
    </border>
    <border diagonalUp="false" diagonalDown="false">
      <left/>
      <right/>
      <top style="thin">
        <color rgb="FF000000"/>
      </top>
      <bottom/>
      <diagonal/>
    </border>
    <border diagonalUp="false" diagonalDown="false">
      <left/>
      <right style="thin">
        <color rgb="FF000000"/>
      </right>
      <top/>
      <bottom style="thin">
        <color rgb="FF000000"/>
      </bottom>
      <diagonal/>
    </border>
    <border diagonalUp="false" diagonalDown="false">
      <left/>
      <right style="thin">
        <color rgb="FF000000"/>
      </right>
      <top/>
      <bottom/>
      <diagonal/>
    </border>
    <border diagonalUp="false" diagonalDown="false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false" diagonalDown="false">
      <left/>
      <right/>
      <top style="thin">
        <color rgb="FF000000"/>
      </top>
      <bottom style="thin">
        <color rgb="FF000000"/>
      </bottom>
      <diagonal/>
    </border>
  </borders>
  <cellStyleXfs count="1">
    <xf borderId="0" numFmtId="0" fillId="0" fontId="0" applyAlignment="1">
      <alignment wrapText="1"/>
    </xf>
  </cellStyleXfs>
  <cellXfs count="35">
    <xf borderId="0" numFmtId="0" fillId="0" fontId="0" xfId="0"/>
    <xf borderId="3" fillId="0" fontId="11" numFmtId="0" xfId="0" applyAlignment="1">
      <alignment horizontal="left"/>
    </xf>
    <xf borderId="3" fillId="0" fontId="0" numFmtId="164" xfId="0">
</xf>
    <xf borderId="3" fillId="0" fontId="3" numFmtId="0" xfId="0" applyAlignment="1">
      <alignment horizontal="right"/>
    </xf>
    <xf borderId="3" fillId="0" fontId="12" numFmtId="0" xfId="0" applyAlignment="1">
      <alignment horizontal="center"/>
    </xf>
    <xf borderId="3" fillId="0" fontId="9" numFmtId="0" xfId="0" applyAlignment="1">
      <alignment horizontal="left"/>
    </xf>
    <xf borderId="2" fillId="0" fontId="10" numFmtId="0" xfId="0" applyAlignment="1">
      <alignment horizontal="left"/>
    </xf>
    <xf borderId="2" fillId="0" fontId="0" numFmtId="0" xfId="0">
</xf>
    <xf borderId="2" fillId="0" fontId="0" numFmtId="164" xfId="0">
</xf>
    <xf borderId="2" fillId="0" fontId="5" numFmtId="0" xfId="0" applyAlignment="1">
      <alignment horizontal="center"/>
    </xf>
    <xf borderId="5" fillId="2" fontId="0" numFmtId="0" xfId="0">
</xf>
    <xf borderId="2" fillId="2" fontId="5" numFmtId="0" xfId="0" applyAlignment="1">
      <alignment horizontal="center"/>
    </xf>
    <xf borderId="3" fillId="0" fontId="4" numFmtId="0" xfId="0" applyAlignment="1">
      <alignment horizontal="right"/>
    </xf>
    <xf borderId="6" fillId="0" fontId="0" numFmtId="0" xfId="0">
</xf>
    <xf borderId="3" fillId="0" fontId="7" numFmtId="0" xfId="0" applyAlignment="1">
      <alignment horizontal="center"/>
    </xf>
    <xf borderId="3" fillId="0" fontId="5" numFmtId="0" xfId="0" applyAlignment="1">
      <alignment horizontal="center"/>
    </xf>
    <xf borderId="2" fillId="0" fontId="3" numFmtId="0" xfId="0" applyAlignment="1">
      <alignment horizontal="right"/>
    </xf>
    <xf borderId="7" fillId="0" fontId="2" numFmtId="0" xfId="0" applyAlignment="1">
</xf>
    <xf borderId="8" fillId="0" fontId="5" numFmtId="0" xfId="0" applyAlignment="1">
      <alignment horizontal="center"/>
    </xf>
    <xf borderId="3" fillId="2" fontId="0" numFmtId="164" xfId="0">
</xf>
    <xf borderId="3" fillId="2" fontId="0" numFmtId="0" xfId="0">
</xf>
    <xf borderId="1" fillId="0" fontId="8" numFmtId="164" xfId="0" applyAlignment="1">
      <alignment wrapText="1"/>
    </xf>
    <xf borderId="1" fillId="0" fontId="8" numFmtId="0" xfId="0" applyAlignment="1">
      <alignment wrapText="1"/>
    </xf>
    <xf borderId="1" fillId="0" fontId="1" numFmtId="164" xfId="0" applyAlignment="1">
      <alignment wrapText="1" horizontal="right"/>
    </xf>
    <xf borderId="4" fillId="0" fontId="0" numFmtId="0" xfId="0">
</xf>
    <xf borderId="4" fillId="0" fontId="4" numFmtId="0" xfId="0" applyAlignment="1">
      <alignment horizontal="right"/>
    </xf>
    <xf borderId="4" fillId="0" fontId="2" numFmtId="164" xfId="0" applyAlignment="1">
</xf>
    <xf borderId="4" fillId="0" fontId="2" numFmtId="0" xfId="0" applyAlignment="1">
</xf>
    <xf borderId="3" fillId="0" fontId="6" numFmtId="0" xfId="0" applyAlignment="1">
</xf>
    <xf borderId="3" fillId="0" fontId="2" numFmtId="0" xfId="0" applyAlignment="1">
</xf>
    <xf borderId="2" fillId="0" fontId="2" numFmtId="0" xfId="0" applyAlignment="1">
</xf>
    <xf borderId="4" fillId="0" fontId="5" numFmtId="0" xfId="0" applyAlignment="1">
      <alignment horizontal="center"/>
    </xf>
    <xf borderId="3" fillId="0" fontId="0" numFmtId="0" xfId="0">
</xf>
    <xf borderId="4" fillId="0" fontId="0" numFmtId="164" xfId="0">
</xf>
    <xf borderId="3" fillId="0" fontId="2" numFmtId="164" xfId="0" applyAlignment="1">
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  <Relationship Id="rId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 showGridLines="0">
      <selection activeCell="A1" sqref="A1"/>
    </sheetView>
  </sheetViews>
  <sheetFormatPr defaultRowHeight="12.8"/>
  <cols>
    <col min="1" max="1" width="29" customWidth="1"/>
    <col min="2" max="2" width="29" customWidth="1"/>
    <col min="3" max="3" width="22" customWidth="1"/>
    <col min="4" max="4" width="20" customWidth="1"/>
    <col min="5" max="5" width="34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8" customWidth="1"/>
    <col min="13" max="13" width="18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8" customWidth="1"/>
    <col min="28" max="28" width="18" customWidth="1"/>
    <col min="29" max="29" width="18" customWidth="1"/>
    <col min="30" max="30" width="32" customWidth="1"/>
    <col min="31" max="31" width="29" customWidth="1"/>
    <col min="32" max="32" width="29" customWidth="1"/>
    <col min="33" max="33" width="29" customWidth="1"/>
    <col min="34" max="34" width="29" customWidth="1"/>
    <col min="35" max="35" width="29" customWidth="1"/>
    <col min="36" max="36" width="29" customWidth="1"/>
    <col min="37" max="37" width="29" customWidth="1"/>
    <col min="38" max="38" width="29" customWidth="1"/>
  </cols>
  <sheetData>
    <row r="1">
      <c r="A1" s="1" t="s">
        <v>0</v>
      </c>
    </row>
    <row r="2">
      <c r="AJ2" s="3" t="s">
        <v>1</v>
      </c>
    </row>
    <row r="3">
</row>
    <row r="4">
</row>
    <row r="5">
</row>
    <row r="6">
</row>
    <row r="7" customHeight="1" ht="40">
      <c r="A7" s="4" t="s">
        <v>2</v>
      </c>
    </row>
    <row r="8" customHeight="1" ht="40">
      <c r="A8" s="4" t="s">
        <v>3</v>
      </c>
    </row>
    <row r="9">
      <c r="A9" s="5" t="s">
        <v>4</v>
      </c>
    </row>
    <row r="10">
      <c r="A10" s="6" t="s">
        <v>5</v>
      </c>
      <c r="B10" s="7" t="s">
        <v>6</v>
      </c>
      <c r="C10" s="8" t="s">
        <v>6</v>
      </c>
      <c r="D10" s="7" t="s">
        <v>6</v>
      </c>
      <c r="E10" s="7" t="s">
        <v>6</v>
      </c>
      <c r="M10" s="9" t="s">
        <v>7</v>
      </c>
      <c r="N10" s="7" t="s">
        <v>6</v>
      </c>
      <c r="O10" s="7" t="s">
        <v>6</v>
      </c>
      <c r="P10" s="7" t="s">
        <v>6</v>
      </c>
    </row>
    <row r="11">
      <c r="B11" s="3" t="s">
        <v>8</v>
      </c>
      <c r="C11" s="2">
        <f>H90+H101+H105</f>
      </c>
    </row>
    <row r="12">
      <c r="B12" s="3" t="s">
        <v>9</v>
      </c>
      <c r="C12" s="2">
        <f>I90+I105</f>
      </c>
      <c r="M12" s="10" t="s">
        <v>6</v>
      </c>
      <c r="N12" s="11" t="s">
        <v>10</v>
      </c>
      <c r="O12" s="11" t="s">
        <v>11</v>
      </c>
      <c r="P12" s="11" t="s">
        <v>12</v>
      </c>
    </row>
    <row r="13">
      <c r="B13" s="12" t="s">
        <v>13</v>
      </c>
      <c r="M13" s="13" t="s">
        <v>14</v>
      </c>
      <c r="N13" s="14">
        <f>COUNTIFS(D21:D89, "Pickup", E21:E89, "ASAP")</f>
      </c>
      <c r="O13" s="14">
        <f>COUNTIFS(D21:D89, "Delivery", E21:E89, "ASAP")</f>
      </c>
      <c r="P13" s="15">
        <f>N13+O13</f>
      </c>
    </row>
    <row r="14">
      <c r="B14" s="3" t="s">
        <v>15</v>
      </c>
      <c r="C14" s="2">
        <f>AF90+AF105</f>
      </c>
      <c r="M14" s="13" t="s">
        <v>16</v>
      </c>
      <c r="N14" s="14">
        <f>COUNTIFS(D21:D89, "Pickup", E21:E89, "Scheduled same day")</f>
      </c>
      <c r="O14" s="14">
        <f>COUNTIFS(D21:D89, "Delivery", E21:E89, "Scheduled same day")</f>
      </c>
      <c r="P14" s="15">
        <f>N14+O14</f>
      </c>
    </row>
    <row r="15">
      <c r="B15" s="3" t="s">
        <v>17</v>
      </c>
      <c r="C15" s="2">
        <f>S90+S105</f>
      </c>
      <c r="M15" s="13" t="s">
        <v>18</v>
      </c>
      <c r="N15" s="14">
        <f>COUNTIFS(D21:D89, "Pickup", E21:E89, "Preorder")</f>
      </c>
      <c r="O15" s="14">
        <f>COUNTIFS(D21:D89, "Delivery", E21:E89, "Preorder")</f>
      </c>
      <c r="P15" s="15">
        <f>N15+O15</f>
      </c>
    </row>
    <row r="16">
      <c r="A16" s="7" t="s">
        <v>6</v>
      </c>
      <c r="B16" s="16" t="s">
        <v>19</v>
      </c>
      <c r="C16" s="8">
        <f>AH90+AH101+AH105</f>
      </c>
      <c r="D16" s="7" t="s">
        <v>6</v>
      </c>
      <c r="E16" s="7" t="s">
        <v>6</v>
      </c>
      <c r="M16" s="17" t="s">
        <v>12</v>
      </c>
      <c r="N16" s="18">
        <f>SUM(N13:N15)</f>
      </c>
      <c r="O16" s="18">
        <f>SUM(O13:O15)</f>
      </c>
      <c r="P16" s="18">
        <f>SUM(P13:P15)</f>
      </c>
    </row>
    <row r="17">
      <c r="B17" s="12" t="s">
        <v>20</v>
      </c>
      <c r="C17" s="2">
        <f>C12+SUM(C14:C16)</f>
      </c>
    </row>
    <row r="18">
</row>
    <row r="19">
      <c r="A19" s="19" t="s">
        <v>21</v>
      </c>
      <c r="B19" s="20" t="s">
        <v>6</v>
      </c>
      <c r="C19" s="20" t="s">
        <v>6</v>
      </c>
      <c r="D19" s="20" t="s">
        <v>6</v>
      </c>
      <c r="E19" s="20" t="s">
        <v>6</v>
      </c>
      <c r="F19" s="20" t="s">
        <v>6</v>
      </c>
      <c r="G19" s="20" t="s">
        <v>6</v>
      </c>
      <c r="H19" s="19" t="s">
        <v>6</v>
      </c>
      <c r="I19" s="19" t="s">
        <v>6</v>
      </c>
      <c r="J19" s="19" t="s">
        <v>6</v>
      </c>
      <c r="K19" s="19" t="s">
        <v>6</v>
      </c>
      <c r="L19" s="19" t="s">
        <v>6</v>
      </c>
      <c r="M19" s="19" t="s">
        <v>6</v>
      </c>
      <c r="N19" s="19" t="s">
        <v>6</v>
      </c>
      <c r="O19" s="19" t="s">
        <v>6</v>
      </c>
      <c r="P19" s="19" t="s">
        <v>6</v>
      </c>
      <c r="Q19" s="19" t="s">
        <v>6</v>
      </c>
      <c r="R19" s="19" t="s">
        <v>6</v>
      </c>
      <c r="S19" s="19" t="s">
        <v>6</v>
      </c>
      <c r="T19" s="19" t="s">
        <v>6</v>
      </c>
      <c r="U19" s="19" t="s">
        <v>6</v>
      </c>
      <c r="V19" s="19" t="s">
        <v>6</v>
      </c>
      <c r="W19" s="19" t="s">
        <v>6</v>
      </c>
      <c r="X19" s="20" t="s">
        <v>6</v>
      </c>
      <c r="Y19" s="19" t="s">
        <v>6</v>
      </c>
      <c r="Z19" s="20" t="s">
        <v>6</v>
      </c>
      <c r="AA19" s="19" t="s">
        <v>6</v>
      </c>
      <c r="AB19" s="19" t="s">
        <v>6</v>
      </c>
      <c r="AC19" s="19" t="s">
        <v>6</v>
      </c>
      <c r="AD19" s="19" t="s">
        <v>6</v>
      </c>
      <c r="AE19" s="19" t="s">
        <v>6</v>
      </c>
      <c r="AF19" s="19" t="s">
        <v>6</v>
      </c>
      <c r="AG19" s="20" t="s">
        <v>6</v>
      </c>
      <c r="AH19" s="20" t="s">
        <v>6</v>
      </c>
      <c r="AI19" s="20" t="s">
        <v>6</v>
      </c>
      <c r="AJ19" s="20" t="s">
        <v>6</v>
      </c>
      <c r="AK19" s="20" t="s">
        <v>6</v>
      </c>
      <c r="AL19" s="20" t="s">
        <v>6</v>
      </c>
    </row>
    <row r="20">
      <c r="A20" s="21" t="s">
        <v>22</v>
      </c>
      <c r="B20" s="22" t="s">
        <v>23</v>
      </c>
      <c r="C20" s="22" t="s">
        <v>24</v>
      </c>
      <c r="D20" s="22" t="s">
        <v>25</v>
      </c>
      <c r="E20" s="22" t="s">
        <v>26</v>
      </c>
      <c r="F20" s="22" t="s">
        <v>27</v>
      </c>
      <c r="G20" s="22" t="s">
        <v>28</v>
      </c>
      <c r="H20" s="23" t="s">
        <v>29</v>
      </c>
      <c r="I20" s="23" t="s">
        <v>30</v>
      </c>
      <c r="J20" s="23" t="s">
        <v>31</v>
      </c>
      <c r="K20" s="23" t="s">
        <v>32</v>
      </c>
      <c r="L20" s="23" t="s">
        <v>33</v>
      </c>
      <c r="M20" s="23" t="s">
        <v>34</v>
      </c>
      <c r="N20" s="23" t="s">
        <v>35</v>
      </c>
      <c r="O20" s="23" t="s">
        <v>36</v>
      </c>
      <c r="P20" s="23" t="s">
        <v>37</v>
      </c>
      <c r="Q20" s="23" t="s">
        <v>38</v>
      </c>
      <c r="R20" s="23" t="s">
        <v>39</v>
      </c>
      <c r="S20" s="23" t="s">
        <v>40</v>
      </c>
      <c r="T20" s="23" t="s">
        <v>41</v>
      </c>
      <c r="U20" s="23" t="s">
        <v>42</v>
      </c>
      <c r="V20" s="23" t="s">
        <v>43</v>
      </c>
      <c r="W20" s="21" t="s">
        <v>44</v>
      </c>
      <c r="X20" s="22" t="s">
        <v>45</v>
      </c>
      <c r="Y20" s="21" t="s">
        <v>46</v>
      </c>
      <c r="Z20" s="22" t="s">
        <v>47</v>
      </c>
      <c r="AA20" s="21" t="s">
        <v>48</v>
      </c>
      <c r="AB20" s="21" t="s">
        <v>49</v>
      </c>
      <c r="AC20" s="21" t="s">
        <v>50</v>
      </c>
      <c r="AD20" s="21" t="s">
        <v>51</v>
      </c>
      <c r="AE20" s="21" t="s">
        <v>52</v>
      </c>
      <c r="AF20" s="21" t="s">
        <v>53</v>
      </c>
      <c r="AG20" s="22" t="s">
        <v>54</v>
      </c>
      <c r="AH20" s="22" t="s">
        <v>55</v>
      </c>
      <c r="AI20" s="22" t="s">
        <v>56</v>
      </c>
      <c r="AJ20" s="22" t="s">
        <v>57</v>
      </c>
      <c r="AK20" s="22" t="s">
        <v>58</v>
      </c>
      <c r="AL20" s="22" t="s">
        <v>59</v>
      </c>
      <c r="AM20" s="22" t="s">
        <v>60</v>
      </c>
      <c r="AN20" s="22" t="s">
        <v>61</v>
      </c>
    </row>
    <row r="21">
      <c r="A21" s="2" t="s">
        <v>62</v>
      </c>
      <c r="B21" s="0" t="s">
        <v>62</v>
      </c>
      <c r="C21" s="0" t="s">
        <v>63</v>
      </c>
      <c r="D21" s="0" t="s">
        <v>10</v>
      </c>
      <c r="E21" s="0" t="s">
        <v>64</v>
      </c>
      <c r="F21" s="0" t="s">
        <v>65</v>
      </c>
      <c r="G21" s="0" t="s">
        <v>66</v>
      </c>
      <c r="H21" s="2" t="n">
        <v>18.45</v>
      </c>
      <c r="I21" s="2" t="n">
        <v>18.45</v>
      </c>
      <c r="J21" s="2" t="n">
        <v>18.45</v>
      </c>
      <c r="K21" s="2" t="n">
        <v>0.0</v>
      </c>
      <c r="L21" s="2" t="n">
        <v>-0.0</v>
      </c>
      <c r="M21" s="2" t="n">
        <v>18.45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-0.0</v>
      </c>
      <c r="S21" s="2" t="n">
        <v>-0.0</v>
      </c>
      <c r="T21" s="2" t="n">
        <v>0.0</v>
      </c>
      <c r="U21" s="2" t="n">
        <v>0.0</v>
      </c>
      <c r="V21" s="2" t="n">
        <v>0.0</v>
      </c>
      <c r="W21" s="2" t="n">
        <v>0.0</v>
      </c>
      <c r="X21" s="0" t="n">
        <v>0.0</v>
      </c>
      <c r="Y21" s="2" t="s">
        <v>6</v>
      </c>
      <c r="Z21" s="0" t="n">
        <v>-0.0</v>
      </c>
      <c r="AA21" s="2" t="n">
        <v>0</v>
      </c>
      <c r="AB21" s="2" t="n">
        <v>0</v>
      </c>
      <c r="AC21" s="2" t="n">
        <v>0.0</v>
      </c>
      <c r="AD21" s="2" t="n">
        <v>0.0</v>
      </c>
      <c r="AE21" s="2" t="n">
        <v>0.0</v>
      </c>
      <c r="AF21" s="2" t="n">
        <v>-4.43</v>
      </c>
      <c r="AG21" s="0" t="n">
        <v>0.74</v>
      </c>
      <c r="AH21" s="0" t="n">
        <v>-0.74</v>
      </c>
      <c r="AI21" s="0" t="n">
        <v>-5.17</v>
      </c>
      <c r="AJ21" s="0" t="s">
        <v>6</v>
      </c>
      <c r="AK21" s="0" t="s">
        <v>6</v>
      </c>
      <c r="AL21" s="0" t="s">
        <v>67</v>
      </c>
      <c r="AM21" s="0" t="s">
        <v>68</v>
      </c>
      <c r="AN21" s="0" t="s">
        <v>69</v>
      </c>
    </row>
    <row r="22">
      <c r="A22" s="2" t="s">
        <v>62</v>
      </c>
      <c r="B22" s="0" t="s">
        <v>62</v>
      </c>
      <c r="C22" s="0" t="s">
        <v>63</v>
      </c>
      <c r="D22" s="0" t="s">
        <v>10</v>
      </c>
      <c r="E22" s="0" t="s">
        <v>14</v>
      </c>
      <c r="F22" s="0" t="s">
        <v>65</v>
      </c>
      <c r="G22" s="0" t="s">
        <v>70</v>
      </c>
      <c r="H22" s="2" t="n">
        <v>35.3</v>
      </c>
      <c r="I22" s="2" t="n">
        <v>35.3</v>
      </c>
      <c r="J22" s="2" t="n">
        <v>43.3</v>
      </c>
      <c r="K22" s="2" t="n">
        <v>0.0</v>
      </c>
      <c r="L22" s="2" t="n">
        <v>-8.0</v>
      </c>
      <c r="M22" s="2" t="n">
        <v>35.3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-0.0</v>
      </c>
      <c r="S22" s="2" t="n">
        <v>-0.0</v>
      </c>
      <c r="T22" s="2" t="n">
        <v>0.0</v>
      </c>
      <c r="U22" s="2" t="n">
        <v>0.0</v>
      </c>
      <c r="V22" s="2" t="n">
        <v>0.0</v>
      </c>
      <c r="W22" s="2" t="n">
        <v>0.0</v>
      </c>
      <c r="X22" s="0" t="n">
        <v>0.0</v>
      </c>
      <c r="Y22" s="2" t="s">
        <v>71</v>
      </c>
      <c r="Z22" s="0" t="n">
        <v>-0.0</v>
      </c>
      <c r="AA22" s="2" t="n">
        <v>0</v>
      </c>
      <c r="AB22" s="2" t="n">
        <v>0</v>
      </c>
      <c r="AC22" s="2" t="n">
        <v>0.0</v>
      </c>
      <c r="AD22" s="2" t="n">
        <v>0.0</v>
      </c>
      <c r="AE22" s="2" t="n">
        <v>0.0</v>
      </c>
      <c r="AF22" s="2" t="n">
        <v>-8.48</v>
      </c>
      <c r="AG22" s="0" t="n">
        <v>1.41</v>
      </c>
      <c r="AH22" s="0" t="n">
        <v>-0.69</v>
      </c>
      <c r="AI22" s="0" t="n">
        <v>-9.17</v>
      </c>
      <c r="AJ22" s="0" t="s">
        <v>6</v>
      </c>
      <c r="AK22" s="0" t="s">
        <v>6</v>
      </c>
      <c r="AL22" s="0" t="s">
        <v>72</v>
      </c>
      <c r="AM22" s="0" t="s">
        <v>73</v>
      </c>
      <c r="AN22" s="0" t="s">
        <v>69</v>
      </c>
    </row>
    <row r="23">
      <c r="A23" s="2" t="s">
        <v>74</v>
      </c>
      <c r="B23" s="0" t="s">
        <v>74</v>
      </c>
      <c r="C23" s="0" t="s">
        <v>63</v>
      </c>
      <c r="D23" s="0" t="s">
        <v>11</v>
      </c>
      <c r="E23" s="0" t="s">
        <v>64</v>
      </c>
      <c r="F23" s="0" t="s">
        <v>65</v>
      </c>
      <c r="G23" s="0" t="s">
        <v>75</v>
      </c>
      <c r="H23" s="2" t="n">
        <v>32.29</v>
      </c>
      <c r="I23" s="2" t="n">
        <v>32.29</v>
      </c>
      <c r="J23" s="2" t="n">
        <v>32.3</v>
      </c>
      <c r="K23" s="2" t="n">
        <v>0.0</v>
      </c>
      <c r="L23" s="2" t="n">
        <v>-8.0</v>
      </c>
      <c r="M23" s="2" t="n">
        <v>24.3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-0.0</v>
      </c>
      <c r="S23" s="2" t="n">
        <v>-15.6</v>
      </c>
      <c r="T23" s="2" t="n">
        <v>2.6</v>
      </c>
      <c r="U23" s="2" t="n">
        <v>0.0</v>
      </c>
      <c r="V23" s="2" t="n">
        <v>0.0</v>
      </c>
      <c r="W23" s="2" t="n">
        <v>7.99</v>
      </c>
      <c r="X23" s="0" t="n">
        <v>7.61</v>
      </c>
      <c r="Y23" s="2" t="s">
        <v>71</v>
      </c>
      <c r="Z23" s="0" t="n">
        <v>-0.0</v>
      </c>
      <c r="AA23" s="2" t="n">
        <v>0</v>
      </c>
      <c r="AB23" s="2" t="n">
        <v>0</v>
      </c>
      <c r="AC23" s="2" t="n">
        <v>7.99</v>
      </c>
      <c r="AD23" s="2" t="n">
        <v>1.33</v>
      </c>
      <c r="AE23" s="2" t="n">
        <v>7.61</v>
      </c>
      <c r="AF23" s="2" t="n">
        <v>-5.84</v>
      </c>
      <c r="AG23" s="0" t="n">
        <v>0.97</v>
      </c>
      <c r="AH23" s="0" t="n">
        <v>-0.65</v>
      </c>
      <c r="AI23" s="0" t="n">
        <v>-22.09</v>
      </c>
      <c r="AJ23" s="0" t="s">
        <v>6</v>
      </c>
      <c r="AK23" s="0" t="s">
        <v>76</v>
      </c>
      <c r="AL23" s="0" t="s">
        <v>77</v>
      </c>
      <c r="AM23" s="0" t="s">
        <v>78</v>
      </c>
      <c r="AN23" s="0" t="s">
        <v>79</v>
      </c>
    </row>
    <row r="24">
      <c r="A24" s="2" t="s">
        <v>80</v>
      </c>
      <c r="B24" s="0" t="s">
        <v>80</v>
      </c>
      <c r="C24" s="0" t="s">
        <v>63</v>
      </c>
      <c r="D24" s="0" t="s">
        <v>10</v>
      </c>
      <c r="E24" s="0" t="s">
        <v>14</v>
      </c>
      <c r="F24" s="0" t="s">
        <v>65</v>
      </c>
      <c r="G24" s="0" t="s">
        <v>81</v>
      </c>
      <c r="H24" s="2" t="n">
        <v>15.3</v>
      </c>
      <c r="I24" s="2" t="n">
        <v>15.3</v>
      </c>
      <c r="J24" s="2" t="n">
        <v>15.3</v>
      </c>
      <c r="K24" s="2" t="n">
        <v>0.0</v>
      </c>
      <c r="L24" s="2" t="n">
        <v>-0.0</v>
      </c>
      <c r="M24" s="2" t="n">
        <v>15.3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-0.0</v>
      </c>
      <c r="S24" s="2" t="n">
        <v>-0.0</v>
      </c>
      <c r="T24" s="2" t="n">
        <v>0.0</v>
      </c>
      <c r="U24" s="2" t="n">
        <v>0.0</v>
      </c>
      <c r="V24" s="2" t="n">
        <v>0.0</v>
      </c>
      <c r="W24" s="2" t="n">
        <v>0.0</v>
      </c>
      <c r="X24" s="0" t="n">
        <v>0.0</v>
      </c>
      <c r="Y24" s="2" t="s">
        <v>6</v>
      </c>
      <c r="Z24" s="0" t="n">
        <v>-0.0</v>
      </c>
      <c r="AA24" s="2" t="n">
        <v>0</v>
      </c>
      <c r="AB24" s="2" t="n">
        <v>0</v>
      </c>
      <c r="AC24" s="2" t="n">
        <v>0.0</v>
      </c>
      <c r="AD24" s="2" t="n">
        <v>0.0</v>
      </c>
      <c r="AE24" s="2" t="n">
        <v>0.0</v>
      </c>
      <c r="AF24" s="2" t="n">
        <v>-3.68</v>
      </c>
      <c r="AG24" s="0" t="n">
        <v>0.61</v>
      </c>
      <c r="AH24" s="0" t="n">
        <v>-0.41</v>
      </c>
      <c r="AI24" s="0" t="n">
        <v>-4.09</v>
      </c>
      <c r="AJ24" s="0" t="s">
        <v>6</v>
      </c>
      <c r="AK24" s="0" t="s">
        <v>6</v>
      </c>
      <c r="AL24" s="0" t="s">
        <v>82</v>
      </c>
      <c r="AM24" s="0" t="s">
        <v>83</v>
      </c>
      <c r="AN24" s="0" t="s">
        <v>69</v>
      </c>
    </row>
    <row r="25">
      <c r="A25" s="2" t="s">
        <v>84</v>
      </c>
      <c r="B25" s="0" t="s">
        <v>84</v>
      </c>
      <c r="C25" s="0" t="s">
        <v>63</v>
      </c>
      <c r="D25" s="0" t="s">
        <v>11</v>
      </c>
      <c r="E25" s="0" t="s">
        <v>14</v>
      </c>
      <c r="F25" s="0" t="s">
        <v>65</v>
      </c>
      <c r="G25" s="0" t="s">
        <v>85</v>
      </c>
      <c r="H25" s="2" t="n">
        <v>33.49</v>
      </c>
      <c r="I25" s="2" t="n">
        <v>33.49</v>
      </c>
      <c r="J25" s="2" t="n">
        <v>30.5</v>
      </c>
      <c r="K25" s="2" t="n">
        <v>0.0</v>
      </c>
      <c r="L25" s="2" t="n">
        <v>-0.0</v>
      </c>
      <c r="M25" s="2" t="n">
        <v>30.5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-0.0</v>
      </c>
      <c r="S25" s="2" t="n">
        <v>-8.82</v>
      </c>
      <c r="T25" s="2" t="n">
        <v>1.47</v>
      </c>
      <c r="U25" s="2" t="n">
        <v>0.0</v>
      </c>
      <c r="V25" s="2" t="n">
        <v>0.0</v>
      </c>
      <c r="W25" s="2" t="n">
        <v>2.99</v>
      </c>
      <c r="X25" s="0" t="n">
        <v>5.83</v>
      </c>
      <c r="Y25" s="2" t="s">
        <v>6</v>
      </c>
      <c r="Z25" s="0" t="n">
        <v>-0.0</v>
      </c>
      <c r="AA25" s="2" t="n">
        <v>0</v>
      </c>
      <c r="AB25" s="2" t="n">
        <v>0</v>
      </c>
      <c r="AC25" s="2" t="n">
        <v>2.99</v>
      </c>
      <c r="AD25" s="2" t="n">
        <v>0.5</v>
      </c>
      <c r="AE25" s="2" t="n">
        <v>5.83</v>
      </c>
      <c r="AF25" s="2" t="n">
        <v>-7.32</v>
      </c>
      <c r="AG25" s="0" t="n">
        <v>1.22</v>
      </c>
      <c r="AH25" s="0" t="n">
        <v>-0.67</v>
      </c>
      <c r="AI25" s="0" t="n">
        <v>-16.81</v>
      </c>
      <c r="AJ25" s="0" t="s">
        <v>6</v>
      </c>
      <c r="AK25" s="0" t="s">
        <v>86</v>
      </c>
      <c r="AL25" s="0" t="s">
        <v>87</v>
      </c>
      <c r="AM25" s="0" t="s">
        <v>88</v>
      </c>
      <c r="AN25" s="0" t="s">
        <v>79</v>
      </c>
    </row>
    <row r="26">
      <c r="A26" s="2" t="s">
        <v>84</v>
      </c>
      <c r="B26" s="0" t="s">
        <v>84</v>
      </c>
      <c r="C26" s="0" t="s">
        <v>63</v>
      </c>
      <c r="D26" s="0" t="s">
        <v>10</v>
      </c>
      <c r="E26" s="0" t="s">
        <v>14</v>
      </c>
      <c r="F26" s="0" t="s">
        <v>65</v>
      </c>
      <c r="G26" s="0" t="s">
        <v>89</v>
      </c>
      <c r="H26" s="2" t="n">
        <v>14.0</v>
      </c>
      <c r="I26" s="2" t="n">
        <v>14.0</v>
      </c>
      <c r="J26" s="2" t="n">
        <v>19.0</v>
      </c>
      <c r="K26" s="2" t="n">
        <v>0.0</v>
      </c>
      <c r="L26" s="2" t="n">
        <v>-5.0</v>
      </c>
      <c r="M26" s="2" t="n">
        <v>14.0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-0.0</v>
      </c>
      <c r="S26" s="2" t="n">
        <v>-0.0</v>
      </c>
      <c r="T26" s="2" t="n">
        <v>0.0</v>
      </c>
      <c r="U26" s="2" t="n">
        <v>0.0</v>
      </c>
      <c r="V26" s="2" t="n">
        <v>0.0</v>
      </c>
      <c r="W26" s="2" t="n">
        <v>0.0</v>
      </c>
      <c r="X26" s="0" t="n">
        <v>0.0</v>
      </c>
      <c r="Y26" s="2" t="s">
        <v>90</v>
      </c>
      <c r="Z26" s="0" t="n">
        <v>-0.0</v>
      </c>
      <c r="AA26" s="2" t="n">
        <v>0</v>
      </c>
      <c r="AB26" s="2" t="n">
        <v>0</v>
      </c>
      <c r="AC26" s="2" t="n">
        <v>0.0</v>
      </c>
      <c r="AD26" s="2" t="n">
        <v>0.0</v>
      </c>
      <c r="AE26" s="2" t="n">
        <v>0.0</v>
      </c>
      <c r="AF26" s="2" t="n">
        <v>-3.36</v>
      </c>
      <c r="AG26" s="0" t="n">
        <v>0.56</v>
      </c>
      <c r="AH26" s="0" t="n">
        <v>-0.4</v>
      </c>
      <c r="AI26" s="0" t="n">
        <v>-3.76</v>
      </c>
      <c r="AJ26" s="0" t="s">
        <v>6</v>
      </c>
      <c r="AK26" s="0" t="s">
        <v>6</v>
      </c>
      <c r="AL26" s="0" t="s">
        <v>91</v>
      </c>
      <c r="AM26" s="0" t="s">
        <v>92</v>
      </c>
      <c r="AN26" s="0" t="s">
        <v>69</v>
      </c>
    </row>
    <row r="27">
      <c r="A27" s="2" t="s">
        <v>93</v>
      </c>
      <c r="B27" s="0" t="s">
        <v>93</v>
      </c>
      <c r="C27" s="0" t="s">
        <v>94</v>
      </c>
      <c r="D27" s="0" t="s">
        <v>11</v>
      </c>
      <c r="E27" s="0" t="s">
        <v>14</v>
      </c>
      <c r="F27" s="0" t="s">
        <v>65</v>
      </c>
      <c r="G27" s="0" t="s">
        <v>95</v>
      </c>
      <c r="H27" s="2" t="n">
        <v>38.08</v>
      </c>
      <c r="I27" s="2" t="n">
        <v>38.08</v>
      </c>
      <c r="J27" s="2" t="n">
        <v>39.1</v>
      </c>
      <c r="K27" s="2" t="n">
        <v>0.0</v>
      </c>
      <c r="L27" s="2" t="n">
        <v>-6.5</v>
      </c>
      <c r="M27" s="2" t="n">
        <v>32.6</v>
      </c>
      <c r="N27" s="2" t="n">
        <v>0.0</v>
      </c>
      <c r="O27" s="2" t="n">
        <v>1.49</v>
      </c>
      <c r="P27" s="2" t="n">
        <v>0.25</v>
      </c>
      <c r="Q27" s="2" t="n">
        <v>0.0</v>
      </c>
      <c r="R27" s="2" t="n">
        <v>-0.0</v>
      </c>
      <c r="S27" s="2" t="n">
        <v>-9.66</v>
      </c>
      <c r="T27" s="2" t="n">
        <v>1.61</v>
      </c>
      <c r="U27" s="2" t="n">
        <v>0.0</v>
      </c>
      <c r="V27" s="2" t="n">
        <v>0.0</v>
      </c>
      <c r="W27" s="2" t="n">
        <v>3.99</v>
      </c>
      <c r="X27" s="0" t="n">
        <v>5.67</v>
      </c>
      <c r="Y27" s="2" t="s">
        <v>96</v>
      </c>
      <c r="Z27" s="0" t="n">
        <v>-0.0</v>
      </c>
      <c r="AA27" s="2" t="n">
        <v>0</v>
      </c>
      <c r="AB27" s="2" t="n">
        <v>0</v>
      </c>
      <c r="AC27" s="2" t="n">
        <v>3.99</v>
      </c>
      <c r="AD27" s="2" t="n">
        <v>0.66</v>
      </c>
      <c r="AE27" s="2" t="n">
        <v>5.67</v>
      </c>
      <c r="AF27" s="2" t="n">
        <v>-7.83</v>
      </c>
      <c r="AG27" s="0" t="n">
        <v>1.3</v>
      </c>
      <c r="AH27" s="0" t="n">
        <v>-0.73</v>
      </c>
      <c r="AI27" s="0" t="n">
        <v>-18.22</v>
      </c>
      <c r="AJ27" s="0" t="s">
        <v>6</v>
      </c>
      <c r="AK27" s="0" t="s">
        <v>97</v>
      </c>
      <c r="AL27" s="0" t="s">
        <v>98</v>
      </c>
      <c r="AM27" s="0" t="s">
        <v>99</v>
      </c>
      <c r="AN27" s="0" t="s">
        <v>79</v>
      </c>
    </row>
    <row r="28">
      <c r="A28" s="2" t="s">
        <v>100</v>
      </c>
      <c r="B28" s="0" t="s">
        <v>100</v>
      </c>
      <c r="C28" s="0" t="s">
        <v>63</v>
      </c>
      <c r="D28" s="0" t="s">
        <v>11</v>
      </c>
      <c r="E28" s="0" t="s">
        <v>64</v>
      </c>
      <c r="F28" s="0" t="s">
        <v>65</v>
      </c>
      <c r="G28" s="0" t="s">
        <v>101</v>
      </c>
      <c r="H28" s="2" t="n">
        <v>24.73</v>
      </c>
      <c r="I28" s="2" t="n">
        <v>24.73</v>
      </c>
      <c r="J28" s="2" t="n">
        <v>17.75</v>
      </c>
      <c r="K28" s="2" t="n">
        <v>0.0</v>
      </c>
      <c r="L28" s="2" t="n">
        <v>-0.0</v>
      </c>
      <c r="M28" s="2" t="n">
        <v>17.75</v>
      </c>
      <c r="N28" s="2" t="n">
        <v>0.0</v>
      </c>
      <c r="O28" s="2" t="n">
        <v>0.99</v>
      </c>
      <c r="P28" s="2" t="n">
        <v>0.16</v>
      </c>
      <c r="Q28" s="2" t="n">
        <v>0.0</v>
      </c>
      <c r="R28" s="2" t="n">
        <v>-0.0</v>
      </c>
      <c r="S28" s="2" t="n">
        <v>-11.34</v>
      </c>
      <c r="T28" s="2" t="n">
        <v>1.89</v>
      </c>
      <c r="U28" s="2" t="n">
        <v>0.0</v>
      </c>
      <c r="V28" s="2" t="n">
        <v>0.0</v>
      </c>
      <c r="W28" s="2" t="n">
        <v>5.99</v>
      </c>
      <c r="X28" s="0" t="n">
        <v>5.35</v>
      </c>
      <c r="Y28" s="2" t="s">
        <v>6</v>
      </c>
      <c r="Z28" s="0" t="n">
        <v>-0.0</v>
      </c>
      <c r="AA28" s="2" t="n">
        <v>0</v>
      </c>
      <c r="AB28" s="2" t="n">
        <v>0</v>
      </c>
      <c r="AC28" s="2" t="n">
        <v>5.99</v>
      </c>
      <c r="AD28" s="2" t="n">
        <v>1.0</v>
      </c>
      <c r="AE28" s="2" t="n">
        <v>5.35</v>
      </c>
      <c r="AF28" s="2" t="n">
        <v>-4.26</v>
      </c>
      <c r="AG28" s="0" t="n">
        <v>0.71</v>
      </c>
      <c r="AH28" s="0" t="n">
        <v>-0.55</v>
      </c>
      <c r="AI28" s="0" t="n">
        <v>-16.15</v>
      </c>
      <c r="AJ28" s="0" t="s">
        <v>6</v>
      </c>
      <c r="AK28" s="0" t="s">
        <v>102</v>
      </c>
      <c r="AL28" s="0" t="s">
        <v>103</v>
      </c>
      <c r="AM28" s="0" t="s">
        <v>104</v>
      </c>
      <c r="AN28" s="0" t="s">
        <v>79</v>
      </c>
    </row>
    <row r="29">
      <c r="A29" s="2" t="s">
        <v>100</v>
      </c>
      <c r="B29" s="0" t="s">
        <v>100</v>
      </c>
      <c r="C29" s="0" t="s">
        <v>63</v>
      </c>
      <c r="D29" s="0" t="s">
        <v>10</v>
      </c>
      <c r="E29" s="0" t="s">
        <v>64</v>
      </c>
      <c r="F29" s="0" t="s">
        <v>65</v>
      </c>
      <c r="G29" s="0" t="s">
        <v>105</v>
      </c>
      <c r="H29" s="2" t="n">
        <v>11.74</v>
      </c>
      <c r="I29" s="2" t="n">
        <v>11.74</v>
      </c>
      <c r="J29" s="2" t="n">
        <v>10.75</v>
      </c>
      <c r="K29" s="2" t="n">
        <v>0.02519685039370079</v>
      </c>
      <c r="L29" s="2" t="n">
        <v>-0.0</v>
      </c>
      <c r="M29" s="2" t="n">
        <v>10.75</v>
      </c>
      <c r="N29" s="2" t="n">
        <v>0.0</v>
      </c>
      <c r="O29" s="2" t="n">
        <v>0.99</v>
      </c>
      <c r="P29" s="2" t="n">
        <v>0.16</v>
      </c>
      <c r="Q29" s="2" t="n">
        <v>0.0</v>
      </c>
      <c r="R29" s="2" t="n">
        <v>-0.0</v>
      </c>
      <c r="S29" s="2" t="n">
        <v>-0.0</v>
      </c>
      <c r="T29" s="2" t="n">
        <v>0.0</v>
      </c>
      <c r="U29" s="2" t="n">
        <v>0.0</v>
      </c>
      <c r="V29" s="2" t="n">
        <v>0.0</v>
      </c>
      <c r="W29" s="2" t="n">
        <v>0.0</v>
      </c>
      <c r="X29" s="0" t="n">
        <v>0.0</v>
      </c>
      <c r="Y29" s="2" t="s">
        <v>6</v>
      </c>
      <c r="Z29" s="0" t="n">
        <v>-0.0</v>
      </c>
      <c r="AA29" s="2" t="n">
        <v>0</v>
      </c>
      <c r="AB29" s="2" t="n">
        <v>0</v>
      </c>
      <c r="AC29" s="2" t="n">
        <v>0.0</v>
      </c>
      <c r="AD29" s="2" t="n">
        <v>0.0</v>
      </c>
      <c r="AE29" s="2" t="n">
        <v>0.0</v>
      </c>
      <c r="AF29" s="2" t="n">
        <v>-2.58</v>
      </c>
      <c r="AG29" s="0" t="n">
        <v>0.43</v>
      </c>
      <c r="AH29" s="0" t="n">
        <v>-0.36</v>
      </c>
      <c r="AI29" s="0" t="n">
        <v>-2.94</v>
      </c>
      <c r="AJ29" s="0" t="s">
        <v>6</v>
      </c>
      <c r="AK29" s="0" t="s">
        <v>6</v>
      </c>
      <c r="AL29" s="0" t="s">
        <v>106</v>
      </c>
      <c r="AM29" s="0" t="s">
        <v>107</v>
      </c>
      <c r="AN29" s="0" t="s">
        <v>69</v>
      </c>
    </row>
    <row r="30">
      <c r="A30" s="2" t="s">
        <v>100</v>
      </c>
      <c r="B30" s="0" t="s">
        <v>100</v>
      </c>
      <c r="C30" s="0" t="s">
        <v>63</v>
      </c>
      <c r="D30" s="0" t="s">
        <v>11</v>
      </c>
      <c r="E30" s="0" t="s">
        <v>64</v>
      </c>
      <c r="F30" s="0" t="s">
        <v>65</v>
      </c>
      <c r="G30" s="0" t="s">
        <v>108</v>
      </c>
      <c r="H30" s="2" t="n">
        <v>15.63</v>
      </c>
      <c r="I30" s="2" t="n">
        <v>15.63</v>
      </c>
      <c r="J30" s="2" t="n">
        <v>11.65</v>
      </c>
      <c r="K30" s="2" t="n">
        <v>0.0</v>
      </c>
      <c r="L30" s="2" t="n">
        <v>-0.0</v>
      </c>
      <c r="M30" s="2" t="n">
        <v>11.65</v>
      </c>
      <c r="N30" s="2" t="n">
        <v>0.0</v>
      </c>
      <c r="O30" s="2" t="n">
        <v>0.99</v>
      </c>
      <c r="P30" s="2" t="n">
        <v>0.16</v>
      </c>
      <c r="Q30" s="2" t="n">
        <v>0.0</v>
      </c>
      <c r="R30" s="2" t="n">
        <v>-0.0</v>
      </c>
      <c r="S30" s="2" t="n">
        <v>-7.98</v>
      </c>
      <c r="T30" s="2" t="n">
        <v>1.33</v>
      </c>
      <c r="U30" s="2" t="n">
        <v>0.0</v>
      </c>
      <c r="V30" s="2" t="n">
        <v>0.0</v>
      </c>
      <c r="W30" s="2" t="n">
        <v>2.99</v>
      </c>
      <c r="X30" s="0" t="n">
        <v>4.99</v>
      </c>
      <c r="Y30" s="2" t="s">
        <v>6</v>
      </c>
      <c r="Z30" s="0" t="n">
        <v>-0.0</v>
      </c>
      <c r="AA30" s="2" t="n">
        <v>0</v>
      </c>
      <c r="AB30" s="2" t="n">
        <v>0</v>
      </c>
      <c r="AC30" s="2" t="n">
        <v>2.99</v>
      </c>
      <c r="AD30" s="2" t="n">
        <v>0.5</v>
      </c>
      <c r="AE30" s="2" t="n">
        <v>4.99</v>
      </c>
      <c r="AF30" s="2" t="n">
        <v>-2.8</v>
      </c>
      <c r="AG30" s="0" t="n">
        <v>0.47</v>
      </c>
      <c r="AH30" s="0" t="n">
        <v>-0.42</v>
      </c>
      <c r="AI30" s="0" t="n">
        <v>-11.2</v>
      </c>
      <c r="AJ30" s="0" t="s">
        <v>6</v>
      </c>
      <c r="AK30" s="0" t="s">
        <v>109</v>
      </c>
      <c r="AL30" s="0" t="s">
        <v>110</v>
      </c>
      <c r="AM30" s="0" t="s">
        <v>111</v>
      </c>
      <c r="AN30" s="0" t="s">
        <v>112</v>
      </c>
    </row>
    <row r="31">
      <c r="A31" s="2" t="s">
        <v>100</v>
      </c>
      <c r="B31" s="0" t="s">
        <v>100</v>
      </c>
      <c r="C31" s="0" t="s">
        <v>63</v>
      </c>
      <c r="D31" s="0" t="s">
        <v>10</v>
      </c>
      <c r="E31" s="0" t="s">
        <v>14</v>
      </c>
      <c r="F31" s="0" t="s">
        <v>65</v>
      </c>
      <c r="G31" s="0" t="s">
        <v>113</v>
      </c>
      <c r="H31" s="2" t="n">
        <v>39.29</v>
      </c>
      <c r="I31" s="2" t="n">
        <v>39.29</v>
      </c>
      <c r="J31" s="2" t="n">
        <v>43.3</v>
      </c>
      <c r="K31" s="2" t="n">
        <v>0.0</v>
      </c>
      <c r="L31" s="2" t="n">
        <v>-5.0</v>
      </c>
      <c r="M31" s="2" t="n">
        <v>38.3</v>
      </c>
      <c r="N31" s="2" t="n">
        <v>0.0</v>
      </c>
      <c r="O31" s="2" t="n">
        <v>0.99</v>
      </c>
      <c r="P31" s="2" t="n">
        <v>0.16</v>
      </c>
      <c r="Q31" s="2" t="n">
        <v>0.0</v>
      </c>
      <c r="R31" s="2" t="n">
        <v>-0.0</v>
      </c>
      <c r="S31" s="2" t="n">
        <v>-0.0</v>
      </c>
      <c r="T31" s="2" t="n">
        <v>0.0</v>
      </c>
      <c r="U31" s="2" t="n">
        <v>0.0</v>
      </c>
      <c r="V31" s="2" t="n">
        <v>0.0</v>
      </c>
      <c r="W31" s="2" t="n">
        <v>0.0</v>
      </c>
      <c r="X31" s="0" t="n">
        <v>0.0</v>
      </c>
      <c r="Y31" s="2" t="s">
        <v>114</v>
      </c>
      <c r="Z31" s="0" t="n">
        <v>-0.0</v>
      </c>
      <c r="AA31" s="2" t="n">
        <v>0</v>
      </c>
      <c r="AB31" s="2" t="n">
        <v>0</v>
      </c>
      <c r="AC31" s="2" t="n">
        <v>0.0</v>
      </c>
      <c r="AD31" s="2" t="n">
        <v>0.0</v>
      </c>
      <c r="AE31" s="2" t="n">
        <v>0.0</v>
      </c>
      <c r="AF31" s="2" t="n">
        <v>-9.2</v>
      </c>
      <c r="AG31" s="0" t="n">
        <v>1.53</v>
      </c>
      <c r="AH31" s="0" t="n">
        <v>-0.75</v>
      </c>
      <c r="AI31" s="0" t="n">
        <v>-9.95</v>
      </c>
      <c r="AJ31" s="0" t="s">
        <v>6</v>
      </c>
      <c r="AK31" s="0" t="s">
        <v>6</v>
      </c>
      <c r="AL31" s="0" t="s">
        <v>115</v>
      </c>
      <c r="AM31" s="0" t="s">
        <v>116</v>
      </c>
      <c r="AN31" s="0" t="s">
        <v>69</v>
      </c>
    </row>
    <row r="32">
      <c r="A32" s="2" t="s">
        <v>100</v>
      </c>
      <c r="B32" s="0" t="s">
        <v>100</v>
      </c>
      <c r="C32" s="0" t="s">
        <v>63</v>
      </c>
      <c r="D32" s="0" t="s">
        <v>11</v>
      </c>
      <c r="E32" s="0" t="s">
        <v>14</v>
      </c>
      <c r="F32" s="0" t="s">
        <v>65</v>
      </c>
      <c r="G32" s="0" t="s">
        <v>117</v>
      </c>
      <c r="H32" s="2" t="n">
        <v>19.63</v>
      </c>
      <c r="I32" s="2" t="n">
        <v>19.63</v>
      </c>
      <c r="J32" s="2" t="n">
        <v>15.65</v>
      </c>
      <c r="K32" s="2" t="n">
        <v>0.0</v>
      </c>
      <c r="L32" s="2" t="n">
        <v>-0.0</v>
      </c>
      <c r="M32" s="2" t="n">
        <v>15.65</v>
      </c>
      <c r="N32" s="2" t="n">
        <v>0.0</v>
      </c>
      <c r="O32" s="2" t="n">
        <v>0.99</v>
      </c>
      <c r="P32" s="2" t="n">
        <v>0.16</v>
      </c>
      <c r="Q32" s="2" t="n">
        <v>0.0</v>
      </c>
      <c r="R32" s="2" t="n">
        <v>-0.0</v>
      </c>
      <c r="S32" s="2" t="n">
        <v>-7.98</v>
      </c>
      <c r="T32" s="2" t="n">
        <v>1.33</v>
      </c>
      <c r="U32" s="2" t="n">
        <v>0.0</v>
      </c>
      <c r="V32" s="2" t="n">
        <v>0.0</v>
      </c>
      <c r="W32" s="2" t="n">
        <v>2.99</v>
      </c>
      <c r="X32" s="0" t="n">
        <v>4.99</v>
      </c>
      <c r="Y32" s="2" t="s">
        <v>6</v>
      </c>
      <c r="Z32" s="0" t="n">
        <v>-0.0</v>
      </c>
      <c r="AA32" s="2" t="n">
        <v>0</v>
      </c>
      <c r="AB32" s="2" t="n">
        <v>0</v>
      </c>
      <c r="AC32" s="2" t="n">
        <v>2.99</v>
      </c>
      <c r="AD32" s="2" t="n">
        <v>0.5</v>
      </c>
      <c r="AE32" s="2" t="n">
        <v>4.99</v>
      </c>
      <c r="AF32" s="2" t="n">
        <v>-3.76</v>
      </c>
      <c r="AG32" s="0" t="n">
        <v>0.63</v>
      </c>
      <c r="AH32" s="0" t="n">
        <v>-0.47</v>
      </c>
      <c r="AI32" s="0" t="n">
        <v>-12.21</v>
      </c>
      <c r="AJ32" s="0" t="s">
        <v>6</v>
      </c>
      <c r="AK32" s="0" t="s">
        <v>118</v>
      </c>
      <c r="AL32" s="0" t="s">
        <v>119</v>
      </c>
      <c r="AM32" s="0" t="s">
        <v>120</v>
      </c>
      <c r="AN32" s="0" t="s">
        <v>79</v>
      </c>
    </row>
    <row r="33">
      <c r="A33" s="2" t="s">
        <v>100</v>
      </c>
      <c r="B33" s="0" t="s">
        <v>100</v>
      </c>
      <c r="C33" s="0" t="s">
        <v>63</v>
      </c>
      <c r="D33" s="0" t="s">
        <v>11</v>
      </c>
      <c r="E33" s="0" t="s">
        <v>14</v>
      </c>
      <c r="F33" s="0" t="s">
        <v>65</v>
      </c>
      <c r="G33" s="0" t="s">
        <v>121</v>
      </c>
      <c r="H33" s="2" t="n">
        <v>29.98</v>
      </c>
      <c r="I33" s="2" t="n">
        <v>29.98</v>
      </c>
      <c r="J33" s="2" t="n">
        <v>32.5</v>
      </c>
      <c r="K33" s="2" t="n">
        <v>0.0</v>
      </c>
      <c r="L33" s="2" t="n">
        <v>-6.5</v>
      </c>
      <c r="M33" s="2" t="n">
        <v>26.0</v>
      </c>
      <c r="N33" s="2" t="n">
        <v>0.0</v>
      </c>
      <c r="O33" s="2" t="n">
        <v>0.99</v>
      </c>
      <c r="P33" s="2" t="n">
        <v>0.16</v>
      </c>
      <c r="Q33" s="2" t="n">
        <v>0.0</v>
      </c>
      <c r="R33" s="2" t="n">
        <v>-0.0</v>
      </c>
      <c r="S33" s="2" t="n">
        <v>-7.98</v>
      </c>
      <c r="T33" s="2" t="n">
        <v>1.33</v>
      </c>
      <c r="U33" s="2" t="n">
        <v>0.0</v>
      </c>
      <c r="V33" s="2" t="n">
        <v>0.0</v>
      </c>
      <c r="W33" s="2" t="n">
        <v>2.99</v>
      </c>
      <c r="X33" s="0" t="n">
        <v>4.99</v>
      </c>
      <c r="Y33" s="2" t="s">
        <v>96</v>
      </c>
      <c r="Z33" s="0" t="n">
        <v>-0.0</v>
      </c>
      <c r="AA33" s="2" t="n">
        <v>0</v>
      </c>
      <c r="AB33" s="2" t="n">
        <v>0</v>
      </c>
      <c r="AC33" s="2" t="n">
        <v>2.99</v>
      </c>
      <c r="AD33" s="2" t="n">
        <v>0.5</v>
      </c>
      <c r="AE33" s="2" t="n">
        <v>4.99</v>
      </c>
      <c r="AF33" s="2" t="n">
        <v>-6.24</v>
      </c>
      <c r="AG33" s="0" t="n">
        <v>1.04</v>
      </c>
      <c r="AH33" s="0" t="n">
        <v>-0.62</v>
      </c>
      <c r="AI33" s="0" t="n">
        <v>-14.84</v>
      </c>
      <c r="AJ33" s="0" t="s">
        <v>6</v>
      </c>
      <c r="AK33" s="0" t="s">
        <v>122</v>
      </c>
      <c r="AL33" s="0" t="s">
        <v>123</v>
      </c>
      <c r="AM33" s="0" t="s">
        <v>124</v>
      </c>
      <c r="AN33" s="0" t="s">
        <v>79</v>
      </c>
    </row>
    <row r="34">
      <c r="A34" s="2" t="s">
        <v>100</v>
      </c>
      <c r="B34" s="0" t="s">
        <v>100</v>
      </c>
      <c r="C34" s="0" t="s">
        <v>63</v>
      </c>
      <c r="D34" s="0" t="s">
        <v>11</v>
      </c>
      <c r="E34" s="0" t="s">
        <v>14</v>
      </c>
      <c r="F34" s="0" t="s">
        <v>65</v>
      </c>
      <c r="G34" s="0" t="s">
        <v>125</v>
      </c>
      <c r="H34" s="2" t="n">
        <v>23.48</v>
      </c>
      <c r="I34" s="2" t="n">
        <v>23.48</v>
      </c>
      <c r="J34" s="2" t="n">
        <v>22.95</v>
      </c>
      <c r="K34" s="2" t="n">
        <v>0.0</v>
      </c>
      <c r="L34" s="2" t="n">
        <v>-3.45</v>
      </c>
      <c r="M34" s="2" t="n">
        <v>19.5</v>
      </c>
      <c r="N34" s="2" t="n">
        <v>0.0</v>
      </c>
      <c r="O34" s="2" t="n">
        <v>0.99</v>
      </c>
      <c r="P34" s="2" t="n">
        <v>0.16</v>
      </c>
      <c r="Q34" s="2" t="n">
        <v>0.0</v>
      </c>
      <c r="R34" s="2" t="n">
        <v>-0.0</v>
      </c>
      <c r="S34" s="2" t="n">
        <v>-7.98</v>
      </c>
      <c r="T34" s="2" t="n">
        <v>1.33</v>
      </c>
      <c r="U34" s="2" t="n">
        <v>0.0</v>
      </c>
      <c r="V34" s="2" t="n">
        <v>0.0</v>
      </c>
      <c r="W34" s="2" t="n">
        <v>2.99</v>
      </c>
      <c r="X34" s="0" t="n">
        <v>4.99</v>
      </c>
      <c r="Y34" s="2" t="s">
        <v>126</v>
      </c>
      <c r="Z34" s="0" t="n">
        <v>-0.0</v>
      </c>
      <c r="AA34" s="2" t="n">
        <v>0</v>
      </c>
      <c r="AB34" s="2" t="n">
        <v>0</v>
      </c>
      <c r="AC34" s="2" t="n">
        <v>2.99</v>
      </c>
      <c r="AD34" s="2" t="n">
        <v>0.5</v>
      </c>
      <c r="AE34" s="2" t="n">
        <v>4.99</v>
      </c>
      <c r="AF34" s="2" t="n">
        <v>-4.68</v>
      </c>
      <c r="AG34" s="0" t="n">
        <v>0.78</v>
      </c>
      <c r="AH34" s="0" t="n">
        <v>-0.53</v>
      </c>
      <c r="AI34" s="0" t="n">
        <v>-13.19</v>
      </c>
      <c r="AJ34" s="0" t="s">
        <v>6</v>
      </c>
      <c r="AK34" s="0" t="s">
        <v>127</v>
      </c>
      <c r="AL34" s="0" t="s">
        <v>128</v>
      </c>
      <c r="AM34" s="0" t="s">
        <v>129</v>
      </c>
      <c r="AN34" s="0" t="s">
        <v>79</v>
      </c>
    </row>
    <row r="35">
      <c r="A35" s="2" t="s">
        <v>100</v>
      </c>
      <c r="B35" s="0" t="s">
        <v>100</v>
      </c>
      <c r="C35" s="0" t="s">
        <v>63</v>
      </c>
      <c r="D35" s="0" t="s">
        <v>10</v>
      </c>
      <c r="E35" s="0" t="s">
        <v>14</v>
      </c>
      <c r="F35" s="0" t="s">
        <v>65</v>
      </c>
      <c r="G35" s="0" t="s">
        <v>130</v>
      </c>
      <c r="H35" s="2" t="n">
        <v>14.94</v>
      </c>
      <c r="I35" s="2" t="n">
        <v>14.94</v>
      </c>
      <c r="J35" s="2" t="n">
        <v>13.95</v>
      </c>
      <c r="K35" s="2" t="n">
        <v>0.0</v>
      </c>
      <c r="L35" s="2" t="n">
        <v>-0.0</v>
      </c>
      <c r="M35" s="2" t="n">
        <v>13.95</v>
      </c>
      <c r="N35" s="2" t="n">
        <v>0.0</v>
      </c>
      <c r="O35" s="2" t="n">
        <v>0.99</v>
      </c>
      <c r="P35" s="2" t="n">
        <v>0.16</v>
      </c>
      <c r="Q35" s="2" t="n">
        <v>0.0</v>
      </c>
      <c r="R35" s="2" t="n">
        <v>-0.0</v>
      </c>
      <c r="S35" s="2" t="n">
        <v>-0.0</v>
      </c>
      <c r="T35" s="2" t="n">
        <v>0.0</v>
      </c>
      <c r="U35" s="2" t="n">
        <v>0.0</v>
      </c>
      <c r="V35" s="2" t="n">
        <v>0.0</v>
      </c>
      <c r="W35" s="2" t="n">
        <v>0.0</v>
      </c>
      <c r="X35" s="0" t="n">
        <v>0.0</v>
      </c>
      <c r="Y35" s="2" t="s">
        <v>6</v>
      </c>
      <c r="Z35" s="0" t="n">
        <v>-0.0</v>
      </c>
      <c r="AA35" s="2" t="n">
        <v>0</v>
      </c>
      <c r="AB35" s="2" t="n">
        <v>0</v>
      </c>
      <c r="AC35" s="2" t="n">
        <v>0.0</v>
      </c>
      <c r="AD35" s="2" t="n">
        <v>0.0</v>
      </c>
      <c r="AE35" s="2" t="n">
        <v>0.0</v>
      </c>
      <c r="AF35" s="2" t="n">
        <v>-3.35</v>
      </c>
      <c r="AG35" s="0" t="n">
        <v>0.56</v>
      </c>
      <c r="AH35" s="0" t="n">
        <v>-0.41</v>
      </c>
      <c r="AI35" s="0" t="n">
        <v>-3.76</v>
      </c>
      <c r="AJ35" s="0" t="s">
        <v>6</v>
      </c>
      <c r="AK35" s="0" t="s">
        <v>6</v>
      </c>
      <c r="AL35" s="0" t="s">
        <v>131</v>
      </c>
      <c r="AM35" s="0" t="s">
        <v>132</v>
      </c>
      <c r="AN35" s="0" t="s">
        <v>69</v>
      </c>
    </row>
    <row r="36">
      <c r="A36" s="2" t="s">
        <v>133</v>
      </c>
      <c r="B36" s="0" t="s">
        <v>133</v>
      </c>
      <c r="C36" s="0" t="s">
        <v>63</v>
      </c>
      <c r="D36" s="0" t="s">
        <v>10</v>
      </c>
      <c r="E36" s="0" t="s">
        <v>64</v>
      </c>
      <c r="F36" s="0" t="s">
        <v>65</v>
      </c>
      <c r="G36" s="0" t="s">
        <v>134</v>
      </c>
      <c r="H36" s="2" t="n">
        <v>28.89</v>
      </c>
      <c r="I36" s="2" t="n">
        <v>28.89</v>
      </c>
      <c r="J36" s="2" t="n">
        <v>27.9</v>
      </c>
      <c r="K36" s="2" t="n">
        <v>0.0</v>
      </c>
      <c r="L36" s="2" t="n">
        <v>-0.0</v>
      </c>
      <c r="M36" s="2" t="n">
        <v>27.9</v>
      </c>
      <c r="N36" s="2" t="n">
        <v>0.0</v>
      </c>
      <c r="O36" s="2" t="n">
        <v>0.99</v>
      </c>
      <c r="P36" s="2" t="n">
        <v>0.16</v>
      </c>
      <c r="Q36" s="2" t="n">
        <v>0.0</v>
      </c>
      <c r="R36" s="2" t="n">
        <v>-0.0</v>
      </c>
      <c r="S36" s="2" t="n">
        <v>-0.0</v>
      </c>
      <c r="T36" s="2" t="n">
        <v>0.0</v>
      </c>
      <c r="U36" s="2" t="n">
        <v>0.0</v>
      </c>
      <c r="V36" s="2" t="n">
        <v>0.0</v>
      </c>
      <c r="W36" s="2" t="n">
        <v>0.0</v>
      </c>
      <c r="X36" s="0" t="n">
        <v>0.0</v>
      </c>
      <c r="Y36" s="2" t="s">
        <v>6</v>
      </c>
      <c r="Z36" s="0" t="n">
        <v>-0.0</v>
      </c>
      <c r="AA36" s="2" t="n">
        <v>0</v>
      </c>
      <c r="AB36" s="2" t="n">
        <v>0</v>
      </c>
      <c r="AC36" s="2" t="n">
        <v>0.0</v>
      </c>
      <c r="AD36" s="2" t="n">
        <v>0.0</v>
      </c>
      <c r="AE36" s="2" t="n">
        <v>0.0</v>
      </c>
      <c r="AF36" s="2" t="n">
        <v>-6.7</v>
      </c>
      <c r="AG36" s="0" t="n">
        <v>1.12</v>
      </c>
      <c r="AH36" s="0" t="n">
        <v>-0.6</v>
      </c>
      <c r="AI36" s="0" t="n">
        <v>-7.3</v>
      </c>
      <c r="AJ36" s="0" t="s">
        <v>6</v>
      </c>
      <c r="AK36" s="0" t="s">
        <v>6</v>
      </c>
      <c r="AL36" s="0" t="s">
        <v>135</v>
      </c>
      <c r="AM36" s="0" t="s">
        <v>136</v>
      </c>
      <c r="AN36" s="0" t="s">
        <v>69</v>
      </c>
    </row>
    <row r="37">
      <c r="A37" s="2" t="s">
        <v>137</v>
      </c>
      <c r="B37" s="0" t="s">
        <v>137</v>
      </c>
      <c r="C37" s="0" t="s">
        <v>63</v>
      </c>
      <c r="D37" s="0" t="s">
        <v>10</v>
      </c>
      <c r="E37" s="0" t="s">
        <v>14</v>
      </c>
      <c r="F37" s="0" t="s">
        <v>65</v>
      </c>
      <c r="G37" s="0" t="s">
        <v>138</v>
      </c>
      <c r="H37" s="2" t="n">
        <v>23.44</v>
      </c>
      <c r="I37" s="2" t="n">
        <v>23.44</v>
      </c>
      <c r="J37" s="2" t="n">
        <v>30.45</v>
      </c>
      <c r="K37" s="2" t="n">
        <v>0.0</v>
      </c>
      <c r="L37" s="2" t="n">
        <v>-8.0</v>
      </c>
      <c r="M37" s="2" t="n">
        <v>22.45</v>
      </c>
      <c r="N37" s="2" t="n">
        <v>0.0</v>
      </c>
      <c r="O37" s="2" t="n">
        <v>0.99</v>
      </c>
      <c r="P37" s="2" t="n">
        <v>0.16</v>
      </c>
      <c r="Q37" s="2" t="n">
        <v>0.0</v>
      </c>
      <c r="R37" s="2" t="n">
        <v>-0.0</v>
      </c>
      <c r="S37" s="2" t="n">
        <v>-0.0</v>
      </c>
      <c r="T37" s="2" t="n">
        <v>0.0</v>
      </c>
      <c r="U37" s="2" t="n">
        <v>0.0</v>
      </c>
      <c r="V37" s="2" t="n">
        <v>0.0</v>
      </c>
      <c r="W37" s="2" t="n">
        <v>0.0</v>
      </c>
      <c r="X37" s="0" t="n">
        <v>0.0</v>
      </c>
      <c r="Y37" s="2" t="s">
        <v>139</v>
      </c>
      <c r="Z37" s="0" t="n">
        <v>-0.0</v>
      </c>
      <c r="AA37" s="2" t="n">
        <v>0</v>
      </c>
      <c r="AB37" s="2" t="n">
        <v>0</v>
      </c>
      <c r="AC37" s="2" t="n">
        <v>0.0</v>
      </c>
      <c r="AD37" s="2" t="n">
        <v>0.0</v>
      </c>
      <c r="AE37" s="2" t="n">
        <v>0.0</v>
      </c>
      <c r="AF37" s="2" t="n">
        <v>-5.39</v>
      </c>
      <c r="AG37" s="0" t="n">
        <v>0.9</v>
      </c>
      <c r="AH37" s="0" t="n">
        <v>-0.88</v>
      </c>
      <c r="AI37" s="0" t="n">
        <v>-6.27</v>
      </c>
      <c r="AJ37" s="0" t="s">
        <v>6</v>
      </c>
      <c r="AK37" s="0" t="s">
        <v>6</v>
      </c>
      <c r="AL37" s="0" t="s">
        <v>140</v>
      </c>
      <c r="AM37" s="0" t="s">
        <v>141</v>
      </c>
      <c r="AN37" s="0" t="s">
        <v>69</v>
      </c>
    </row>
    <row r="38">
      <c r="A38" s="2" t="s">
        <v>137</v>
      </c>
      <c r="B38" s="0" t="s">
        <v>137</v>
      </c>
      <c r="C38" s="0" t="s">
        <v>63</v>
      </c>
      <c r="D38" s="0" t="s">
        <v>10</v>
      </c>
      <c r="E38" s="0" t="s">
        <v>64</v>
      </c>
      <c r="F38" s="0" t="s">
        <v>65</v>
      </c>
      <c r="G38" s="0" t="s">
        <v>142</v>
      </c>
      <c r="H38" s="2" t="n">
        <v>24.29</v>
      </c>
      <c r="I38" s="2" t="n">
        <v>24.29</v>
      </c>
      <c r="J38" s="2" t="n">
        <v>31.3</v>
      </c>
      <c r="K38" s="2" t="n">
        <v>0.0</v>
      </c>
      <c r="L38" s="2" t="n">
        <v>-8.0</v>
      </c>
      <c r="M38" s="2" t="n">
        <v>23.3</v>
      </c>
      <c r="N38" s="2" t="n">
        <v>0.0</v>
      </c>
      <c r="O38" s="2" t="n">
        <v>0.99</v>
      </c>
      <c r="P38" s="2" t="n">
        <v>0.16</v>
      </c>
      <c r="Q38" s="2" t="n">
        <v>0.0</v>
      </c>
      <c r="R38" s="2" t="n">
        <v>-0.0</v>
      </c>
      <c r="S38" s="2" t="n">
        <v>-0.0</v>
      </c>
      <c r="T38" s="2" t="n">
        <v>0.0</v>
      </c>
      <c r="U38" s="2" t="n">
        <v>0.0</v>
      </c>
      <c r="V38" s="2" t="n">
        <v>0.0</v>
      </c>
      <c r="W38" s="2" t="n">
        <v>0.0</v>
      </c>
      <c r="X38" s="0" t="n">
        <v>0.0</v>
      </c>
      <c r="Y38" s="2" t="s">
        <v>139</v>
      </c>
      <c r="Z38" s="0" t="n">
        <v>-0.0</v>
      </c>
      <c r="AA38" s="2" t="n">
        <v>0</v>
      </c>
      <c r="AB38" s="2" t="n">
        <v>0</v>
      </c>
      <c r="AC38" s="2" t="n">
        <v>0.0</v>
      </c>
      <c r="AD38" s="2" t="n">
        <v>0.0</v>
      </c>
      <c r="AE38" s="2" t="n">
        <v>0.0</v>
      </c>
      <c r="AF38" s="2" t="n">
        <v>-5.6</v>
      </c>
      <c r="AG38" s="0" t="n">
        <v>0.93</v>
      </c>
      <c r="AH38" s="0" t="n">
        <v>-0.54</v>
      </c>
      <c r="AI38" s="0" t="n">
        <v>-6.14</v>
      </c>
      <c r="AJ38" s="0" t="s">
        <v>6</v>
      </c>
      <c r="AK38" s="0" t="s">
        <v>6</v>
      </c>
      <c r="AL38" s="0" t="s">
        <v>143</v>
      </c>
      <c r="AM38" s="0" t="s">
        <v>144</v>
      </c>
      <c r="AN38" s="0" t="s">
        <v>69</v>
      </c>
    </row>
    <row r="39">
      <c r="A39" s="2" t="s">
        <v>145</v>
      </c>
      <c r="B39" s="0" t="s">
        <v>145</v>
      </c>
      <c r="C39" s="0" t="s">
        <v>63</v>
      </c>
      <c r="D39" s="0" t="s">
        <v>10</v>
      </c>
      <c r="E39" s="0" t="s">
        <v>14</v>
      </c>
      <c r="F39" s="0" t="s">
        <v>65</v>
      </c>
      <c r="G39" s="0" t="s">
        <v>146</v>
      </c>
      <c r="H39" s="2" t="n">
        <v>28.89</v>
      </c>
      <c r="I39" s="2" t="n">
        <v>28.89</v>
      </c>
      <c r="J39" s="2" t="n">
        <v>27.9</v>
      </c>
      <c r="K39" s="2" t="n">
        <v>0.0</v>
      </c>
      <c r="L39" s="2" t="n">
        <v>-0.0</v>
      </c>
      <c r="M39" s="2" t="n">
        <v>27.9</v>
      </c>
      <c r="N39" s="2" t="n">
        <v>0.0</v>
      </c>
      <c r="O39" s="2" t="n">
        <v>0.99</v>
      </c>
      <c r="P39" s="2" t="n">
        <v>0.16</v>
      </c>
      <c r="Q39" s="2" t="n">
        <v>0.0</v>
      </c>
      <c r="R39" s="2" t="n">
        <v>-0.0</v>
      </c>
      <c r="S39" s="2" t="n">
        <v>-0.0</v>
      </c>
      <c r="T39" s="2" t="n">
        <v>0.0</v>
      </c>
      <c r="U39" s="2" t="n">
        <v>0.0</v>
      </c>
      <c r="V39" s="2" t="n">
        <v>0.0</v>
      </c>
      <c r="W39" s="2" t="n">
        <v>0.0</v>
      </c>
      <c r="X39" s="0" t="n">
        <v>0.0</v>
      </c>
      <c r="Y39" s="2" t="s">
        <v>6</v>
      </c>
      <c r="Z39" s="0" t="n">
        <v>-0.0</v>
      </c>
      <c r="AA39" s="2" t="n">
        <v>0</v>
      </c>
      <c r="AB39" s="2" t="n">
        <v>0</v>
      </c>
      <c r="AC39" s="2" t="n">
        <v>0.0</v>
      </c>
      <c r="AD39" s="2" t="n">
        <v>0.0</v>
      </c>
      <c r="AE39" s="2" t="n">
        <v>0.0</v>
      </c>
      <c r="AF39" s="2" t="n">
        <v>-6.7</v>
      </c>
      <c r="AG39" s="0" t="n">
        <v>1.12</v>
      </c>
      <c r="AH39" s="0" t="n">
        <v>-0.6</v>
      </c>
      <c r="AI39" s="0" t="n">
        <v>-7.3</v>
      </c>
      <c r="AJ39" s="0" t="s">
        <v>6</v>
      </c>
      <c r="AK39" s="0" t="s">
        <v>6</v>
      </c>
      <c r="AL39" s="0" t="s">
        <v>147</v>
      </c>
      <c r="AM39" s="0" t="s">
        <v>148</v>
      </c>
      <c r="AN39" s="0" t="s">
        <v>69</v>
      </c>
    </row>
    <row r="40">
      <c r="A40" s="2" t="s">
        <v>145</v>
      </c>
      <c r="B40" s="0" t="s">
        <v>145</v>
      </c>
      <c r="C40" s="0" t="s">
        <v>63</v>
      </c>
      <c r="D40" s="0" t="s">
        <v>10</v>
      </c>
      <c r="E40" s="0" t="s">
        <v>14</v>
      </c>
      <c r="F40" s="0" t="s">
        <v>65</v>
      </c>
      <c r="G40" s="0" t="s">
        <v>149</v>
      </c>
      <c r="H40" s="2" t="n">
        <v>8.44</v>
      </c>
      <c r="I40" s="2" t="n">
        <v>8.44</v>
      </c>
      <c r="J40" s="2" t="n">
        <v>13.95</v>
      </c>
      <c r="K40" s="2" t="n">
        <v>0.0</v>
      </c>
      <c r="L40" s="2" t="n">
        <v>-6.5</v>
      </c>
      <c r="M40" s="2" t="n">
        <v>7.45</v>
      </c>
      <c r="N40" s="2" t="n">
        <v>0.0</v>
      </c>
      <c r="O40" s="2" t="n">
        <v>0.99</v>
      </c>
      <c r="P40" s="2" t="n">
        <v>0.16</v>
      </c>
      <c r="Q40" s="2" t="n">
        <v>0.0</v>
      </c>
      <c r="R40" s="2" t="n">
        <v>-0.0</v>
      </c>
      <c r="S40" s="2" t="n">
        <v>-0.0</v>
      </c>
      <c r="T40" s="2" t="n">
        <v>0.0</v>
      </c>
      <c r="U40" s="2" t="n">
        <v>0.0</v>
      </c>
      <c r="V40" s="2" t="n">
        <v>0.0</v>
      </c>
      <c r="W40" s="2" t="n">
        <v>0.0</v>
      </c>
      <c r="X40" s="0" t="n">
        <v>0.0</v>
      </c>
      <c r="Y40" s="2" t="s">
        <v>96</v>
      </c>
      <c r="Z40" s="0" t="n">
        <v>-0.0</v>
      </c>
      <c r="AA40" s="2" t="n">
        <v>0</v>
      </c>
      <c r="AB40" s="2" t="n">
        <v>0</v>
      </c>
      <c r="AC40" s="2" t="n">
        <v>0.0</v>
      </c>
      <c r="AD40" s="2" t="n">
        <v>0.0</v>
      </c>
      <c r="AE40" s="2" t="n">
        <v>0.0</v>
      </c>
      <c r="AF40" s="2" t="n">
        <v>-1.79</v>
      </c>
      <c r="AG40" s="0" t="n">
        <v>0.3</v>
      </c>
      <c r="AH40" s="0" t="n">
        <v>-0.44</v>
      </c>
      <c r="AI40" s="0" t="n">
        <v>-2.23</v>
      </c>
      <c r="AJ40" s="0" t="s">
        <v>6</v>
      </c>
      <c r="AK40" s="0" t="s">
        <v>6</v>
      </c>
      <c r="AL40" s="0" t="s">
        <v>150</v>
      </c>
      <c r="AM40" s="0" t="s">
        <v>151</v>
      </c>
      <c r="AN40" s="0" t="s">
        <v>69</v>
      </c>
    </row>
    <row r="41">
      <c r="A41" s="2" t="s">
        <v>145</v>
      </c>
      <c r="B41" s="0" t="s">
        <v>145</v>
      </c>
      <c r="C41" s="0" t="s">
        <v>63</v>
      </c>
      <c r="D41" s="0" t="s">
        <v>10</v>
      </c>
      <c r="E41" s="0" t="s">
        <v>14</v>
      </c>
      <c r="F41" s="0" t="s">
        <v>65</v>
      </c>
      <c r="G41" s="0" t="s">
        <v>152</v>
      </c>
      <c r="H41" s="2" t="n">
        <v>25.84</v>
      </c>
      <c r="I41" s="2" t="n">
        <v>25.84</v>
      </c>
      <c r="J41" s="2" t="n">
        <v>32.85</v>
      </c>
      <c r="K41" s="2" t="n">
        <v>0.0</v>
      </c>
      <c r="L41" s="2" t="n">
        <v>-8.0</v>
      </c>
      <c r="M41" s="2" t="n">
        <v>24.85</v>
      </c>
      <c r="N41" s="2" t="n">
        <v>0.0</v>
      </c>
      <c r="O41" s="2" t="n">
        <v>0.99</v>
      </c>
      <c r="P41" s="2" t="n">
        <v>0.16</v>
      </c>
      <c r="Q41" s="2" t="n">
        <v>0.0</v>
      </c>
      <c r="R41" s="2" t="n">
        <v>-0.0</v>
      </c>
      <c r="S41" s="2" t="n">
        <v>-0.0</v>
      </c>
      <c r="T41" s="2" t="n">
        <v>0.0</v>
      </c>
      <c r="U41" s="2" t="n">
        <v>0.0</v>
      </c>
      <c r="V41" s="2" t="n">
        <v>0.0</v>
      </c>
      <c r="W41" s="2" t="n">
        <v>0.0</v>
      </c>
      <c r="X41" s="0" t="n">
        <v>0.0</v>
      </c>
      <c r="Y41" s="2" t="s">
        <v>139</v>
      </c>
      <c r="Z41" s="0" t="n">
        <v>-0.0</v>
      </c>
      <c r="AA41" s="2" t="n">
        <v>0</v>
      </c>
      <c r="AB41" s="2" t="n">
        <v>0</v>
      </c>
      <c r="AC41" s="2" t="n">
        <v>0.0</v>
      </c>
      <c r="AD41" s="2" t="n">
        <v>0.0</v>
      </c>
      <c r="AE41" s="2" t="n">
        <v>0.0</v>
      </c>
      <c r="AF41" s="2" t="n">
        <v>-5.97</v>
      </c>
      <c r="AG41" s="0" t="n">
        <v>1.0</v>
      </c>
      <c r="AH41" s="0" t="n">
        <v>-0.95</v>
      </c>
      <c r="AI41" s="0" t="n">
        <v>-6.92</v>
      </c>
      <c r="AJ41" s="0" t="s">
        <v>6</v>
      </c>
      <c r="AK41" s="0" t="s">
        <v>6</v>
      </c>
      <c r="AL41" s="0" t="s">
        <v>153</v>
      </c>
      <c r="AM41" s="0" t="s">
        <v>154</v>
      </c>
      <c r="AN41" s="0" t="s">
        <v>69</v>
      </c>
    </row>
    <row r="42">
      <c r="A42" s="2" t="s">
        <v>155</v>
      </c>
      <c r="B42" s="0" t="s">
        <v>155</v>
      </c>
      <c r="C42" s="0" t="s">
        <v>63</v>
      </c>
      <c r="D42" s="0" t="s">
        <v>10</v>
      </c>
      <c r="E42" s="0" t="s">
        <v>14</v>
      </c>
      <c r="F42" s="0" t="s">
        <v>65</v>
      </c>
      <c r="G42" s="0" t="s">
        <v>156</v>
      </c>
      <c r="H42" s="2" t="n">
        <v>14.89</v>
      </c>
      <c r="I42" s="2" t="n">
        <v>14.89</v>
      </c>
      <c r="J42" s="2" t="n">
        <v>18.9</v>
      </c>
      <c r="K42" s="2" t="n">
        <v>0.0</v>
      </c>
      <c r="L42" s="2" t="n">
        <v>-5.0</v>
      </c>
      <c r="M42" s="2" t="n">
        <v>13.9</v>
      </c>
      <c r="N42" s="2" t="n">
        <v>0.0</v>
      </c>
      <c r="O42" s="2" t="n">
        <v>0.99</v>
      </c>
      <c r="P42" s="2" t="n">
        <v>0.16</v>
      </c>
      <c r="Q42" s="2" t="n">
        <v>0.0</v>
      </c>
      <c r="R42" s="2" t="n">
        <v>-0.0</v>
      </c>
      <c r="S42" s="2" t="n">
        <v>-0.0</v>
      </c>
      <c r="T42" s="2" t="n">
        <v>0.0</v>
      </c>
      <c r="U42" s="2" t="n">
        <v>0.0</v>
      </c>
      <c r="V42" s="2" t="n">
        <v>0.0</v>
      </c>
      <c r="W42" s="2" t="n">
        <v>0.0</v>
      </c>
      <c r="X42" s="0" t="n">
        <v>0.0</v>
      </c>
      <c r="Y42" s="2" t="s">
        <v>157</v>
      </c>
      <c r="Z42" s="0" t="n">
        <v>-0.0</v>
      </c>
      <c r="AA42" s="2" t="n">
        <v>0</v>
      </c>
      <c r="AB42" s="2" t="n">
        <v>0</v>
      </c>
      <c r="AC42" s="2" t="n">
        <v>0.0</v>
      </c>
      <c r="AD42" s="2" t="n">
        <v>0.0</v>
      </c>
      <c r="AE42" s="2" t="n">
        <v>0.0</v>
      </c>
      <c r="AF42" s="2" t="n">
        <v>-3.34</v>
      </c>
      <c r="AG42" s="0" t="n">
        <v>0.56</v>
      </c>
      <c r="AH42" s="0" t="n">
        <v>-0.41</v>
      </c>
      <c r="AI42" s="0" t="n">
        <v>-3.75</v>
      </c>
      <c r="AJ42" s="0" t="s">
        <v>6</v>
      </c>
      <c r="AK42" s="0" t="s">
        <v>6</v>
      </c>
      <c r="AL42" s="0" t="s">
        <v>158</v>
      </c>
      <c r="AM42" s="0" t="s">
        <v>159</v>
      </c>
      <c r="AN42" s="0" t="s">
        <v>69</v>
      </c>
    </row>
    <row r="43">
      <c r="A43" s="2" t="s">
        <v>155</v>
      </c>
      <c r="B43" s="0" t="s">
        <v>155</v>
      </c>
      <c r="C43" s="0" t="s">
        <v>63</v>
      </c>
      <c r="D43" s="0" t="s">
        <v>11</v>
      </c>
      <c r="E43" s="0" t="s">
        <v>14</v>
      </c>
      <c r="F43" s="0" t="s">
        <v>65</v>
      </c>
      <c r="G43" s="0" t="s">
        <v>160</v>
      </c>
      <c r="H43" s="2" t="n">
        <v>18.88</v>
      </c>
      <c r="I43" s="2" t="n">
        <v>18.88</v>
      </c>
      <c r="J43" s="2" t="n">
        <v>14.9</v>
      </c>
      <c r="K43" s="2" t="n">
        <v>0.0</v>
      </c>
      <c r="L43" s="2" t="n">
        <v>-0.0</v>
      </c>
      <c r="M43" s="2" t="n">
        <v>14.9</v>
      </c>
      <c r="N43" s="2" t="n">
        <v>0.0</v>
      </c>
      <c r="O43" s="2" t="n">
        <v>0.99</v>
      </c>
      <c r="P43" s="2" t="n">
        <v>0.16</v>
      </c>
      <c r="Q43" s="2" t="n">
        <v>0.0</v>
      </c>
      <c r="R43" s="2" t="n">
        <v>-0.0</v>
      </c>
      <c r="S43" s="2" t="n">
        <v>-8.82</v>
      </c>
      <c r="T43" s="2" t="n">
        <v>1.47</v>
      </c>
      <c r="U43" s="2" t="n">
        <v>0.0</v>
      </c>
      <c r="V43" s="2" t="n">
        <v>0.0</v>
      </c>
      <c r="W43" s="2" t="n">
        <v>2.99</v>
      </c>
      <c r="X43" s="0" t="n">
        <v>5.83</v>
      </c>
      <c r="Y43" s="2" t="s">
        <v>6</v>
      </c>
      <c r="Z43" s="0" t="n">
        <v>-0.0</v>
      </c>
      <c r="AA43" s="2" t="n">
        <v>0</v>
      </c>
      <c r="AB43" s="2" t="n">
        <v>0</v>
      </c>
      <c r="AC43" s="2" t="n">
        <v>2.99</v>
      </c>
      <c r="AD43" s="2" t="n">
        <v>0.5</v>
      </c>
      <c r="AE43" s="2" t="n">
        <v>5.83</v>
      </c>
      <c r="AF43" s="2" t="n">
        <v>-3.58</v>
      </c>
      <c r="AG43" s="0" t="n">
        <v>0.6</v>
      </c>
      <c r="AH43" s="0" t="n">
        <v>-0.46</v>
      </c>
      <c r="AI43" s="0" t="n">
        <v>-12.86</v>
      </c>
      <c r="AJ43" s="0" t="s">
        <v>6</v>
      </c>
      <c r="AK43" s="0" t="s">
        <v>161</v>
      </c>
      <c r="AL43" s="0" t="s">
        <v>162</v>
      </c>
      <c r="AM43" s="0" t="s">
        <v>163</v>
      </c>
      <c r="AN43" s="0" t="s">
        <v>112</v>
      </c>
    </row>
    <row r="44">
      <c r="A44" s="2" t="s">
        <v>164</v>
      </c>
      <c r="B44" s="0" t="s">
        <v>164</v>
      </c>
      <c r="C44" s="0" t="s">
        <v>165</v>
      </c>
      <c r="D44" s="0" t="s">
        <v>10</v>
      </c>
      <c r="E44" s="0" t="s">
        <v>64</v>
      </c>
      <c r="F44" s="0" t="s">
        <v>65</v>
      </c>
      <c r="G44" s="0" t="s">
        <v>166</v>
      </c>
      <c r="H44" s="2" t="n">
        <v>13.0</v>
      </c>
      <c r="I44" s="2" t="n">
        <v>13.0</v>
      </c>
      <c r="J44" s="2" t="n">
        <v>13.0</v>
      </c>
      <c r="K44" s="2" t="n">
        <v>0.0</v>
      </c>
      <c r="L44" s="2" t="n">
        <v>-0.0</v>
      </c>
      <c r="M44" s="2" t="n">
        <v>13.0</v>
      </c>
      <c r="N44" s="2" t="n">
        <v>0.0</v>
      </c>
      <c r="O44" s="2" t="n">
        <v>0.0</v>
      </c>
      <c r="P44" s="2" t="n">
        <v>0.0</v>
      </c>
      <c r="Q44" s="2" t="n">
        <v>0.0</v>
      </c>
      <c r="R44" s="2" t="n">
        <v>-0.0</v>
      </c>
      <c r="S44" s="2" t="n">
        <v>-0.0</v>
      </c>
      <c r="T44" s="2" t="n">
        <v>0.0</v>
      </c>
      <c r="U44" s="2" t="n">
        <v>0.0</v>
      </c>
      <c r="V44" s="2" t="n">
        <v>0.0</v>
      </c>
      <c r="W44" s="2" t="n">
        <v>0.0</v>
      </c>
      <c r="X44" s="0" t="n">
        <v>0.0</v>
      </c>
      <c r="Y44" s="2" t="s">
        <v>6</v>
      </c>
      <c r="Z44" s="0" t="n">
        <v>-0.0</v>
      </c>
      <c r="AA44" s="2" t="n">
        <v>0</v>
      </c>
      <c r="AB44" s="2" t="n">
        <v>0</v>
      </c>
      <c r="AC44" s="2" t="n">
        <v>0.0</v>
      </c>
      <c r="AD44" s="2" t="n">
        <v>0.0</v>
      </c>
      <c r="AE44" s="2" t="n">
        <v>0.0</v>
      </c>
      <c r="AF44" s="2" t="n">
        <v>-3.12</v>
      </c>
      <c r="AG44" s="0" t="n">
        <v>0.52</v>
      </c>
      <c r="AH44" s="0" t="n">
        <v>-0.38</v>
      </c>
      <c r="AI44" s="0" t="n">
        <v>-3.5</v>
      </c>
      <c r="AJ44" s="0" t="s">
        <v>6</v>
      </c>
      <c r="AK44" s="0" t="s">
        <v>6</v>
      </c>
      <c r="AL44" s="0" t="s">
        <v>167</v>
      </c>
      <c r="AM44" s="0" t="s">
        <v>168</v>
      </c>
      <c r="AN44" s="0" t="s">
        <v>69</v>
      </c>
    </row>
    <row r="45">
      <c r="A45" s="2" t="s">
        <v>164</v>
      </c>
      <c r="B45" s="0" t="s">
        <v>164</v>
      </c>
      <c r="C45" s="0" t="s">
        <v>63</v>
      </c>
      <c r="D45" s="0" t="s">
        <v>11</v>
      </c>
      <c r="E45" s="0" t="s">
        <v>64</v>
      </c>
      <c r="F45" s="0" t="s">
        <v>65</v>
      </c>
      <c r="G45" s="0" t="s">
        <v>169</v>
      </c>
      <c r="H45" s="2" t="n">
        <v>19.98</v>
      </c>
      <c r="I45" s="2" t="n">
        <v>19.98</v>
      </c>
      <c r="J45" s="2" t="n">
        <v>17.75</v>
      </c>
      <c r="K45" s="2" t="n">
        <v>0.0</v>
      </c>
      <c r="L45" s="2" t="n">
        <v>-4.75</v>
      </c>
      <c r="M45" s="2" t="n">
        <v>13.0</v>
      </c>
      <c r="N45" s="2" t="n">
        <v>0.0</v>
      </c>
      <c r="O45" s="2" t="n">
        <v>0.99</v>
      </c>
      <c r="P45" s="2" t="n">
        <v>0.16</v>
      </c>
      <c r="Q45" s="2" t="n">
        <v>0.0</v>
      </c>
      <c r="R45" s="2" t="n">
        <v>-0.0</v>
      </c>
      <c r="S45" s="2" t="n">
        <v>-11.34</v>
      </c>
      <c r="T45" s="2" t="n">
        <v>1.89</v>
      </c>
      <c r="U45" s="2" t="n">
        <v>0.0</v>
      </c>
      <c r="V45" s="2" t="n">
        <v>0.0</v>
      </c>
      <c r="W45" s="2" t="n">
        <v>5.99</v>
      </c>
      <c r="X45" s="0" t="n">
        <v>5.35</v>
      </c>
      <c r="Y45" s="2" t="s">
        <v>170</v>
      </c>
      <c r="Z45" s="0" t="n">
        <v>-0.0</v>
      </c>
      <c r="AA45" s="2" t="n">
        <v>0</v>
      </c>
      <c r="AB45" s="2" t="n">
        <v>0</v>
      </c>
      <c r="AC45" s="2" t="n">
        <v>5.99</v>
      </c>
      <c r="AD45" s="2" t="n">
        <v>1.0</v>
      </c>
      <c r="AE45" s="2" t="n">
        <v>5.35</v>
      </c>
      <c r="AF45" s="2" t="n">
        <v>-3.12</v>
      </c>
      <c r="AG45" s="0" t="n">
        <v>0.52</v>
      </c>
      <c r="AH45" s="0" t="n">
        <v>-0.48</v>
      </c>
      <c r="AI45" s="0" t="n">
        <v>-14.94</v>
      </c>
      <c r="AJ45" s="0" t="s">
        <v>6</v>
      </c>
      <c r="AK45" s="0" t="s">
        <v>171</v>
      </c>
      <c r="AL45" s="0" t="s">
        <v>172</v>
      </c>
      <c r="AM45" s="0" t="s">
        <v>173</v>
      </c>
      <c r="AN45" s="0" t="s">
        <v>79</v>
      </c>
    </row>
    <row r="46">
      <c r="A46" s="2" t="s">
        <v>164</v>
      </c>
      <c r="B46" s="0" t="s">
        <v>164</v>
      </c>
      <c r="C46" s="0" t="s">
        <v>63</v>
      </c>
      <c r="D46" s="0" t="s">
        <v>10</v>
      </c>
      <c r="E46" s="0" t="s">
        <v>14</v>
      </c>
      <c r="F46" s="0" t="s">
        <v>65</v>
      </c>
      <c r="G46" s="0" t="s">
        <v>174</v>
      </c>
      <c r="H46" s="2" t="n">
        <v>18.69</v>
      </c>
      <c r="I46" s="2" t="n">
        <v>18.69</v>
      </c>
      <c r="J46" s="2" t="n">
        <v>24.2</v>
      </c>
      <c r="K46" s="2" t="n">
        <v>0.0</v>
      </c>
      <c r="L46" s="2" t="n">
        <v>-6.5</v>
      </c>
      <c r="M46" s="2" t="n">
        <v>17.7</v>
      </c>
      <c r="N46" s="2" t="n">
        <v>0.0</v>
      </c>
      <c r="O46" s="2" t="n">
        <v>0.99</v>
      </c>
      <c r="P46" s="2" t="n">
        <v>0.16</v>
      </c>
      <c r="Q46" s="2" t="n">
        <v>0.0</v>
      </c>
      <c r="R46" s="2" t="n">
        <v>-0.0</v>
      </c>
      <c r="S46" s="2" t="n">
        <v>-0.0</v>
      </c>
      <c r="T46" s="2" t="n">
        <v>0.0</v>
      </c>
      <c r="U46" s="2" t="n">
        <v>0.0</v>
      </c>
      <c r="V46" s="2" t="n">
        <v>0.0</v>
      </c>
      <c r="W46" s="2" t="n">
        <v>0.0</v>
      </c>
      <c r="X46" s="0" t="n">
        <v>0.0</v>
      </c>
      <c r="Y46" s="2" t="s">
        <v>96</v>
      </c>
      <c r="Z46" s="0" t="n">
        <v>-0.0</v>
      </c>
      <c r="AA46" s="2" t="n">
        <v>0</v>
      </c>
      <c r="AB46" s="2" t="n">
        <v>0</v>
      </c>
      <c r="AC46" s="2" t="n">
        <v>0.0</v>
      </c>
      <c r="AD46" s="2" t="n">
        <v>0.0</v>
      </c>
      <c r="AE46" s="2" t="n">
        <v>0.0</v>
      </c>
      <c r="AF46" s="2" t="n">
        <v>-4.25</v>
      </c>
      <c r="AG46" s="0" t="n">
        <v>0.71</v>
      </c>
      <c r="AH46" s="0" t="n">
        <v>-0.46</v>
      </c>
      <c r="AI46" s="0" t="n">
        <v>-4.71</v>
      </c>
      <c r="AJ46" s="0" t="s">
        <v>6</v>
      </c>
      <c r="AK46" s="0" t="s">
        <v>6</v>
      </c>
      <c r="AL46" s="0" t="s">
        <v>175</v>
      </c>
      <c r="AM46" s="0" t="s">
        <v>176</v>
      </c>
      <c r="AN46" s="0" t="s">
        <v>69</v>
      </c>
    </row>
    <row r="47">
      <c r="A47" s="2" t="s">
        <v>164</v>
      </c>
      <c r="B47" s="0" t="s">
        <v>164</v>
      </c>
      <c r="C47" s="0" t="s">
        <v>63</v>
      </c>
      <c r="D47" s="0" t="s">
        <v>10</v>
      </c>
      <c r="E47" s="0" t="s">
        <v>14</v>
      </c>
      <c r="F47" s="0" t="s">
        <v>65</v>
      </c>
      <c r="G47" s="0" t="s">
        <v>177</v>
      </c>
      <c r="H47" s="2" t="n">
        <v>17.09</v>
      </c>
      <c r="I47" s="2" t="n">
        <v>17.09</v>
      </c>
      <c r="J47" s="2" t="n">
        <v>22.6</v>
      </c>
      <c r="K47" s="2" t="n">
        <v>0.0</v>
      </c>
      <c r="L47" s="2" t="n">
        <v>-6.5</v>
      </c>
      <c r="M47" s="2" t="n">
        <v>16.1</v>
      </c>
      <c r="N47" s="2" t="n">
        <v>0.0</v>
      </c>
      <c r="O47" s="2" t="n">
        <v>0.99</v>
      </c>
      <c r="P47" s="2" t="n">
        <v>0.16</v>
      </c>
      <c r="Q47" s="2" t="n">
        <v>0.0</v>
      </c>
      <c r="R47" s="2" t="n">
        <v>-0.0</v>
      </c>
      <c r="S47" s="2" t="n">
        <v>-0.0</v>
      </c>
      <c r="T47" s="2" t="n">
        <v>0.0</v>
      </c>
      <c r="U47" s="2" t="n">
        <v>0.0</v>
      </c>
      <c r="V47" s="2" t="n">
        <v>0.0</v>
      </c>
      <c r="W47" s="2" t="n">
        <v>0.0</v>
      </c>
      <c r="X47" s="0" t="n">
        <v>0.0</v>
      </c>
      <c r="Y47" s="2" t="s">
        <v>96</v>
      </c>
      <c r="Z47" s="0" t="n">
        <v>-0.0</v>
      </c>
      <c r="AA47" s="2" t="n">
        <v>0</v>
      </c>
      <c r="AB47" s="2" t="n">
        <v>0</v>
      </c>
      <c r="AC47" s="2" t="n">
        <v>0.0</v>
      </c>
      <c r="AD47" s="2" t="n">
        <v>0.0</v>
      </c>
      <c r="AE47" s="2" t="n">
        <v>0.0</v>
      </c>
      <c r="AF47" s="2" t="n">
        <v>-3.87</v>
      </c>
      <c r="AG47" s="0" t="n">
        <v>0.64</v>
      </c>
      <c r="AH47" s="0" t="n">
        <v>-0.44</v>
      </c>
      <c r="AI47" s="0" t="n">
        <v>-4.31</v>
      </c>
      <c r="AJ47" s="0" t="s">
        <v>6</v>
      </c>
      <c r="AK47" s="0" t="s">
        <v>6</v>
      </c>
      <c r="AL47" s="0" t="s">
        <v>178</v>
      </c>
      <c r="AM47" s="0" t="s">
        <v>179</v>
      </c>
      <c r="AN47" s="0" t="s">
        <v>69</v>
      </c>
    </row>
    <row r="48">
      <c r="A48" s="2" t="s">
        <v>164</v>
      </c>
      <c r="B48" s="0" t="s">
        <v>164</v>
      </c>
      <c r="C48" s="0" t="s">
        <v>63</v>
      </c>
      <c r="D48" s="0" t="s">
        <v>10</v>
      </c>
      <c r="E48" s="0" t="s">
        <v>64</v>
      </c>
      <c r="F48" s="0" t="s">
        <v>65</v>
      </c>
      <c r="G48" s="0" t="s">
        <v>180</v>
      </c>
      <c r="H48" s="2" t="n">
        <v>14.94</v>
      </c>
      <c r="I48" s="2" t="n">
        <v>14.94</v>
      </c>
      <c r="J48" s="2" t="n">
        <v>20.45</v>
      </c>
      <c r="K48" s="2" t="n">
        <v>0.0</v>
      </c>
      <c r="L48" s="2" t="n">
        <v>-6.5</v>
      </c>
      <c r="M48" s="2" t="n">
        <v>13.95</v>
      </c>
      <c r="N48" s="2" t="n">
        <v>0.0</v>
      </c>
      <c r="O48" s="2" t="n">
        <v>0.99</v>
      </c>
      <c r="P48" s="2" t="n">
        <v>0.16</v>
      </c>
      <c r="Q48" s="2" t="n">
        <v>0.0</v>
      </c>
      <c r="R48" s="2" t="n">
        <v>-0.0</v>
      </c>
      <c r="S48" s="2" t="n">
        <v>-0.0</v>
      </c>
      <c r="T48" s="2" t="n">
        <v>0.0</v>
      </c>
      <c r="U48" s="2" t="n">
        <v>0.0</v>
      </c>
      <c r="V48" s="2" t="n">
        <v>0.0</v>
      </c>
      <c r="W48" s="2" t="n">
        <v>0.0</v>
      </c>
      <c r="X48" s="0" t="n">
        <v>0.0</v>
      </c>
      <c r="Y48" s="2" t="s">
        <v>96</v>
      </c>
      <c r="Z48" s="0" t="n">
        <v>-0.0</v>
      </c>
      <c r="AA48" s="2" t="n">
        <v>0</v>
      </c>
      <c r="AB48" s="2" t="n">
        <v>0</v>
      </c>
      <c r="AC48" s="2" t="n">
        <v>0.0</v>
      </c>
      <c r="AD48" s="2" t="n">
        <v>0.0</v>
      </c>
      <c r="AE48" s="2" t="n">
        <v>0.0</v>
      </c>
      <c r="AF48" s="2" t="n">
        <v>-3.35</v>
      </c>
      <c r="AG48" s="0" t="n">
        <v>0.56</v>
      </c>
      <c r="AH48" s="0" t="n">
        <v>-0.41</v>
      </c>
      <c r="AI48" s="0" t="n">
        <v>-3.76</v>
      </c>
      <c r="AJ48" s="0" t="s">
        <v>6</v>
      </c>
      <c r="AK48" s="0" t="s">
        <v>6</v>
      </c>
      <c r="AL48" s="0" t="s">
        <v>181</v>
      </c>
      <c r="AM48" s="0" t="s">
        <v>182</v>
      </c>
      <c r="AN48" s="0" t="s">
        <v>69</v>
      </c>
    </row>
    <row r="49">
      <c r="A49" s="2" t="s">
        <v>164</v>
      </c>
      <c r="B49" s="0" t="s">
        <v>164</v>
      </c>
      <c r="C49" s="0" t="s">
        <v>165</v>
      </c>
      <c r="D49" s="0" t="s">
        <v>11</v>
      </c>
      <c r="E49" s="0" t="s">
        <v>14</v>
      </c>
      <c r="F49" s="0" t="s">
        <v>65</v>
      </c>
      <c r="G49" s="0" t="s">
        <v>183</v>
      </c>
      <c r="H49" s="2" t="n">
        <v>44.59</v>
      </c>
      <c r="I49" s="2" t="n">
        <v>44.59</v>
      </c>
      <c r="J49" s="2" t="n">
        <v>46.1</v>
      </c>
      <c r="K49" s="2" t="n">
        <v>0.0</v>
      </c>
      <c r="L49" s="2" t="n">
        <v>-6.5</v>
      </c>
      <c r="M49" s="2" t="n">
        <v>39.6</v>
      </c>
      <c r="N49" s="2" t="n">
        <v>0.0</v>
      </c>
      <c r="O49" s="2" t="n">
        <v>0.0</v>
      </c>
      <c r="P49" s="2" t="n">
        <v>0.0</v>
      </c>
      <c r="Q49" s="2" t="n">
        <v>0.0</v>
      </c>
      <c r="R49" s="2" t="n">
        <v>-0.0</v>
      </c>
      <c r="S49" s="2" t="n">
        <v>-0.0</v>
      </c>
      <c r="T49" s="2" t="n">
        <v>0.0</v>
      </c>
      <c r="U49" s="2" t="n">
        <v>-4.99</v>
      </c>
      <c r="V49" s="2" t="n">
        <v>0.0</v>
      </c>
      <c r="W49" s="2" t="n">
        <v>4.99</v>
      </c>
      <c r="X49" s="0" t="n">
        <v>0.0</v>
      </c>
      <c r="Y49" s="2" t="s">
        <v>96</v>
      </c>
      <c r="Z49" s="0" t="n">
        <v>-0.0</v>
      </c>
      <c r="AA49" s="2" t="n">
        <v>0</v>
      </c>
      <c r="AB49" s="2" t="n">
        <v>0</v>
      </c>
      <c r="AC49" s="2" t="n">
        <v>4.99</v>
      </c>
      <c r="AD49" s="2" t="n">
        <v>0.0</v>
      </c>
      <c r="AE49" s="2" t="n">
        <v>0</v>
      </c>
      <c r="AF49" s="2" t="n">
        <v>-9.51</v>
      </c>
      <c r="AG49" s="0" t="n">
        <v>1.58</v>
      </c>
      <c r="AH49" s="0" t="n">
        <v>-0.82</v>
      </c>
      <c r="AI49" s="0" t="n">
        <v>-10.33</v>
      </c>
      <c r="AJ49" s="0" t="s">
        <v>6</v>
      </c>
      <c r="AK49" s="0" t="s">
        <v>184</v>
      </c>
      <c r="AL49" s="0" t="s">
        <v>185</v>
      </c>
      <c r="AM49" s="0" t="s">
        <v>186</v>
      </c>
      <c r="AN49" s="0" t="s">
        <v>69</v>
      </c>
    </row>
    <row r="50">
      <c r="A50" s="2" t="s">
        <v>164</v>
      </c>
      <c r="B50" s="0" t="s">
        <v>164</v>
      </c>
      <c r="C50" s="0" t="s">
        <v>63</v>
      </c>
      <c r="D50" s="0" t="s">
        <v>11</v>
      </c>
      <c r="E50" s="0" t="s">
        <v>14</v>
      </c>
      <c r="F50" s="0" t="s">
        <v>65</v>
      </c>
      <c r="G50" s="0" t="s">
        <v>187</v>
      </c>
      <c r="H50" s="2" t="n">
        <v>14.47</v>
      </c>
      <c r="I50" s="2" t="n">
        <v>14.47</v>
      </c>
      <c r="J50" s="2" t="n">
        <v>10.49</v>
      </c>
      <c r="K50" s="2" t="n">
        <v>0.0</v>
      </c>
      <c r="L50" s="2" t="n">
        <v>-0.0</v>
      </c>
      <c r="M50" s="2" t="n">
        <v>10.49</v>
      </c>
      <c r="N50" s="2" t="n">
        <v>0.0</v>
      </c>
      <c r="O50" s="2" t="n">
        <v>0.99</v>
      </c>
      <c r="P50" s="2" t="n">
        <v>0.16</v>
      </c>
      <c r="Q50" s="2" t="n">
        <v>0.0</v>
      </c>
      <c r="R50" s="2" t="n">
        <v>-0.0</v>
      </c>
      <c r="S50" s="2" t="n">
        <v>-8.82</v>
      </c>
      <c r="T50" s="2" t="n">
        <v>1.47</v>
      </c>
      <c r="U50" s="2" t="n">
        <v>0.0</v>
      </c>
      <c r="V50" s="2" t="n">
        <v>0.0</v>
      </c>
      <c r="W50" s="2" t="n">
        <v>2.99</v>
      </c>
      <c r="X50" s="0" t="n">
        <v>5.83</v>
      </c>
      <c r="Y50" s="2" t="s">
        <v>6</v>
      </c>
      <c r="Z50" s="0" t="n">
        <v>-0.0</v>
      </c>
      <c r="AA50" s="2" t="n">
        <v>0</v>
      </c>
      <c r="AB50" s="2" t="n">
        <v>0</v>
      </c>
      <c r="AC50" s="2" t="n">
        <v>2.99</v>
      </c>
      <c r="AD50" s="2" t="n">
        <v>0.5</v>
      </c>
      <c r="AE50" s="2" t="n">
        <v>5.83</v>
      </c>
      <c r="AF50" s="2" t="n">
        <v>-2.52</v>
      </c>
      <c r="AG50" s="0" t="n">
        <v>0.42</v>
      </c>
      <c r="AH50" s="0" t="n">
        <v>-0.4</v>
      </c>
      <c r="AI50" s="0" t="n">
        <v>-11.74</v>
      </c>
      <c r="AJ50" s="0" t="s">
        <v>6</v>
      </c>
      <c r="AK50" s="0" t="s">
        <v>188</v>
      </c>
      <c r="AL50" s="0" t="s">
        <v>189</v>
      </c>
      <c r="AM50" s="0" t="s">
        <v>190</v>
      </c>
      <c r="AN50" s="0" t="s">
        <v>112</v>
      </c>
    </row>
    <row r="51">
      <c r="A51" s="2" t="s">
        <v>191</v>
      </c>
      <c r="B51" s="0" t="s">
        <v>191</v>
      </c>
      <c r="C51" s="0" t="s">
        <v>63</v>
      </c>
      <c r="D51" s="0" t="s">
        <v>11</v>
      </c>
      <c r="E51" s="0" t="s">
        <v>64</v>
      </c>
      <c r="F51" s="0" t="s">
        <v>65</v>
      </c>
      <c r="G51" s="0" t="s">
        <v>192</v>
      </c>
      <c r="H51" s="2" t="n">
        <v>14.98</v>
      </c>
      <c r="I51" s="2" t="n">
        <v>14.98</v>
      </c>
      <c r="J51" s="2" t="n">
        <v>17.5</v>
      </c>
      <c r="K51" s="2" t="n">
        <v>0.0</v>
      </c>
      <c r="L51" s="2" t="n">
        <v>-6.5</v>
      </c>
      <c r="M51" s="2" t="n">
        <v>11.0</v>
      </c>
      <c r="N51" s="2" t="n">
        <v>0.0</v>
      </c>
      <c r="O51" s="2" t="n">
        <v>0.99</v>
      </c>
      <c r="P51" s="2" t="n">
        <v>0.16</v>
      </c>
      <c r="Q51" s="2" t="n">
        <v>0.0</v>
      </c>
      <c r="R51" s="2" t="n">
        <v>-0.0</v>
      </c>
      <c r="S51" s="2" t="n">
        <v>-8.82</v>
      </c>
      <c r="T51" s="2" t="n">
        <v>1.47</v>
      </c>
      <c r="U51" s="2" t="n">
        <v>0.0</v>
      </c>
      <c r="V51" s="2" t="n">
        <v>0.0</v>
      </c>
      <c r="W51" s="2" t="n">
        <v>2.99</v>
      </c>
      <c r="X51" s="0" t="n">
        <v>5.83</v>
      </c>
      <c r="Y51" s="2" t="s">
        <v>96</v>
      </c>
      <c r="Z51" s="0" t="n">
        <v>-0.0</v>
      </c>
      <c r="AA51" s="2" t="n">
        <v>0</v>
      </c>
      <c r="AB51" s="2" t="n">
        <v>0</v>
      </c>
      <c r="AC51" s="2" t="n">
        <v>2.99</v>
      </c>
      <c r="AD51" s="2" t="n">
        <v>0.5</v>
      </c>
      <c r="AE51" s="2" t="n">
        <v>5.83</v>
      </c>
      <c r="AF51" s="2" t="n">
        <v>-2.64</v>
      </c>
      <c r="AG51" s="0" t="n">
        <v>0.44</v>
      </c>
      <c r="AH51" s="0" t="n">
        <v>-0.41</v>
      </c>
      <c r="AI51" s="0" t="n">
        <v>-11.87</v>
      </c>
      <c r="AJ51" s="0" t="s">
        <v>6</v>
      </c>
      <c r="AK51" s="0" t="s">
        <v>193</v>
      </c>
      <c r="AL51" s="0" t="s">
        <v>194</v>
      </c>
      <c r="AM51" s="0" t="s">
        <v>195</v>
      </c>
      <c r="AN51" s="0" t="s">
        <v>79</v>
      </c>
    </row>
    <row r="52">
      <c r="A52" s="2" t="s">
        <v>191</v>
      </c>
      <c r="B52" s="0" t="s">
        <v>191</v>
      </c>
      <c r="C52" s="0" t="s">
        <v>63</v>
      </c>
      <c r="D52" s="0" t="s">
        <v>11</v>
      </c>
      <c r="E52" s="0" t="s">
        <v>14</v>
      </c>
      <c r="F52" s="0" t="s">
        <v>65</v>
      </c>
      <c r="G52" s="0" t="s">
        <v>196</v>
      </c>
      <c r="H52" s="2" t="n">
        <v>38.53</v>
      </c>
      <c r="I52" s="2" t="n">
        <v>38.53</v>
      </c>
      <c r="J52" s="2" t="n">
        <v>40.05</v>
      </c>
      <c r="K52" s="2" t="n">
        <v>0.0</v>
      </c>
      <c r="L52" s="2" t="n">
        <v>-6.5</v>
      </c>
      <c r="M52" s="2" t="n">
        <v>33.55</v>
      </c>
      <c r="N52" s="2" t="n">
        <v>0.0</v>
      </c>
      <c r="O52" s="2" t="n">
        <v>0.99</v>
      </c>
      <c r="P52" s="2" t="n">
        <v>0.16</v>
      </c>
      <c r="Q52" s="2" t="n">
        <v>1.0</v>
      </c>
      <c r="R52" s="2" t="n">
        <v>-0.0</v>
      </c>
      <c r="S52" s="2" t="n">
        <v>-7.98</v>
      </c>
      <c r="T52" s="2" t="n">
        <v>1.33</v>
      </c>
      <c r="U52" s="2" t="n">
        <v>0.0</v>
      </c>
      <c r="V52" s="2" t="n">
        <v>0.0</v>
      </c>
      <c r="W52" s="2" t="n">
        <v>2.99</v>
      </c>
      <c r="X52" s="0" t="n">
        <v>4.99</v>
      </c>
      <c r="Y52" s="2" t="s">
        <v>96</v>
      </c>
      <c r="Z52" s="0" t="n">
        <v>-0.0</v>
      </c>
      <c r="AA52" s="2" t="n">
        <v>0</v>
      </c>
      <c r="AB52" s="2" t="n">
        <v>0</v>
      </c>
      <c r="AC52" s="2" t="n">
        <v>2.99</v>
      </c>
      <c r="AD52" s="2" t="n">
        <v>0.5</v>
      </c>
      <c r="AE52" s="2" t="n">
        <v>4.99</v>
      </c>
      <c r="AF52" s="2" t="n">
        <v>-8.06</v>
      </c>
      <c r="AG52" s="0" t="n">
        <v>1.34</v>
      </c>
      <c r="AH52" s="0" t="n">
        <v>-0.74</v>
      </c>
      <c r="AI52" s="0" t="n">
        <v>-16.78</v>
      </c>
      <c r="AJ52" s="0" t="s">
        <v>6</v>
      </c>
      <c r="AK52" s="0" t="s">
        <v>197</v>
      </c>
      <c r="AL52" s="0" t="s">
        <v>198</v>
      </c>
      <c r="AM52" s="0" t="s">
        <v>199</v>
      </c>
      <c r="AN52" s="0" t="s">
        <v>79</v>
      </c>
    </row>
    <row r="53">
      <c r="A53" s="2" t="s">
        <v>191</v>
      </c>
      <c r="B53" s="0" t="s">
        <v>191</v>
      </c>
      <c r="C53" s="0" t="s">
        <v>63</v>
      </c>
      <c r="D53" s="0" t="s">
        <v>10</v>
      </c>
      <c r="E53" s="0" t="s">
        <v>64</v>
      </c>
      <c r="F53" s="0" t="s">
        <v>65</v>
      </c>
      <c r="G53" s="0" t="s">
        <v>200</v>
      </c>
      <c r="H53" s="2" t="n">
        <v>24.89</v>
      </c>
      <c r="I53" s="2" t="n">
        <v>24.89</v>
      </c>
      <c r="J53" s="2" t="n">
        <v>23.9</v>
      </c>
      <c r="K53" s="2" t="n">
        <v>0.0</v>
      </c>
      <c r="L53" s="2" t="n">
        <v>-0.0</v>
      </c>
      <c r="M53" s="2" t="n">
        <v>23.9</v>
      </c>
      <c r="N53" s="2" t="n">
        <v>0.0</v>
      </c>
      <c r="O53" s="2" t="n">
        <v>0.99</v>
      </c>
      <c r="P53" s="2" t="n">
        <v>0.16</v>
      </c>
      <c r="Q53" s="2" t="n">
        <v>0.0</v>
      </c>
      <c r="R53" s="2" t="n">
        <v>-0.0</v>
      </c>
      <c r="S53" s="2" t="n">
        <v>-0.0</v>
      </c>
      <c r="T53" s="2" t="n">
        <v>0.0</v>
      </c>
      <c r="U53" s="2" t="n">
        <v>0.0</v>
      </c>
      <c r="V53" s="2" t="n">
        <v>0.0</v>
      </c>
      <c r="W53" s="2" t="n">
        <v>0.0</v>
      </c>
      <c r="X53" s="0" t="n">
        <v>0.0</v>
      </c>
      <c r="Y53" s="2" t="s">
        <v>6</v>
      </c>
      <c r="Z53" s="0" t="n">
        <v>-0.0</v>
      </c>
      <c r="AA53" s="2" t="n">
        <v>0</v>
      </c>
      <c r="AB53" s="2" t="n">
        <v>0</v>
      </c>
      <c r="AC53" s="2" t="n">
        <v>0.0</v>
      </c>
      <c r="AD53" s="2" t="n">
        <v>0.0</v>
      </c>
      <c r="AE53" s="2" t="n">
        <v>0.0</v>
      </c>
      <c r="AF53" s="2" t="n">
        <v>-5.74</v>
      </c>
      <c r="AG53" s="0" t="n">
        <v>0.96</v>
      </c>
      <c r="AH53" s="0" t="n">
        <v>-0.55</v>
      </c>
      <c r="AI53" s="0" t="n">
        <v>-6.29</v>
      </c>
      <c r="AJ53" s="0" t="s">
        <v>6</v>
      </c>
      <c r="AK53" s="0" t="s">
        <v>6</v>
      </c>
      <c r="AL53" s="0" t="s">
        <v>201</v>
      </c>
      <c r="AM53" s="0" t="s">
        <v>202</v>
      </c>
      <c r="AN53" s="0" t="s">
        <v>69</v>
      </c>
    </row>
    <row r="54">
      <c r="A54" s="2" t="s">
        <v>203</v>
      </c>
      <c r="B54" s="0" t="s">
        <v>203</v>
      </c>
      <c r="C54" s="0" t="s">
        <v>63</v>
      </c>
      <c r="D54" s="0" t="s">
        <v>10</v>
      </c>
      <c r="E54" s="0" t="s">
        <v>14</v>
      </c>
      <c r="F54" s="0" t="s">
        <v>65</v>
      </c>
      <c r="G54" s="0" t="s">
        <v>204</v>
      </c>
      <c r="H54" s="2" t="n">
        <v>21.64</v>
      </c>
      <c r="I54" s="2" t="n">
        <v>21.64</v>
      </c>
      <c r="J54" s="2" t="n">
        <v>27.15</v>
      </c>
      <c r="K54" s="2" t="n">
        <v>0.0</v>
      </c>
      <c r="L54" s="2" t="n">
        <v>-6.5</v>
      </c>
      <c r="M54" s="2" t="n">
        <v>20.65</v>
      </c>
      <c r="N54" s="2" t="n">
        <v>0.0</v>
      </c>
      <c r="O54" s="2" t="n">
        <v>0.99</v>
      </c>
      <c r="P54" s="2" t="n">
        <v>0.16</v>
      </c>
      <c r="Q54" s="2" t="n">
        <v>0.0</v>
      </c>
      <c r="R54" s="2" t="n">
        <v>-0.0</v>
      </c>
      <c r="S54" s="2" t="n">
        <v>-0.0</v>
      </c>
      <c r="T54" s="2" t="n">
        <v>0.0</v>
      </c>
      <c r="U54" s="2" t="n">
        <v>0.0</v>
      </c>
      <c r="V54" s="2" t="n">
        <v>0.0</v>
      </c>
      <c r="W54" s="2" t="n">
        <v>0.0</v>
      </c>
      <c r="X54" s="0" t="n">
        <v>0.0</v>
      </c>
      <c r="Y54" s="2" t="s">
        <v>96</v>
      </c>
      <c r="Z54" s="0" t="n">
        <v>-0.0</v>
      </c>
      <c r="AA54" s="2" t="n">
        <v>0</v>
      </c>
      <c r="AB54" s="2" t="n">
        <v>0</v>
      </c>
      <c r="AC54" s="2" t="n">
        <v>0.0</v>
      </c>
      <c r="AD54" s="2" t="n">
        <v>0.0</v>
      </c>
      <c r="AE54" s="2" t="n">
        <v>0.0</v>
      </c>
      <c r="AF54" s="2" t="n">
        <v>-4.96</v>
      </c>
      <c r="AG54" s="0" t="n">
        <v>0.83</v>
      </c>
      <c r="AH54" s="0" t="n">
        <v>-0.5</v>
      </c>
      <c r="AI54" s="0" t="n">
        <v>-5.46</v>
      </c>
      <c r="AJ54" s="0" t="s">
        <v>6</v>
      </c>
      <c r="AK54" s="0" t="s">
        <v>6</v>
      </c>
      <c r="AL54" s="0" t="s">
        <v>205</v>
      </c>
      <c r="AM54" s="0" t="s">
        <v>206</v>
      </c>
      <c r="AN54" s="0" t="s">
        <v>69</v>
      </c>
    </row>
    <row r="55">
      <c r="A55" s="2" t="s">
        <v>203</v>
      </c>
      <c r="B55" s="0" t="s">
        <v>203</v>
      </c>
      <c r="C55" s="0" t="s">
        <v>63</v>
      </c>
      <c r="D55" s="0" t="s">
        <v>10</v>
      </c>
      <c r="E55" s="0" t="s">
        <v>14</v>
      </c>
      <c r="F55" s="0" t="s">
        <v>65</v>
      </c>
      <c r="G55" s="0" t="s">
        <v>207</v>
      </c>
      <c r="H55" s="2" t="n">
        <v>16.14</v>
      </c>
      <c r="I55" s="2" t="n">
        <v>16.14</v>
      </c>
      <c r="J55" s="2" t="n">
        <v>21.65</v>
      </c>
      <c r="K55" s="2" t="n">
        <v>0.0</v>
      </c>
      <c r="L55" s="2" t="n">
        <v>-6.5</v>
      </c>
      <c r="M55" s="2" t="n">
        <v>15.15</v>
      </c>
      <c r="N55" s="2" t="n">
        <v>0.0</v>
      </c>
      <c r="O55" s="2" t="n">
        <v>0.99</v>
      </c>
      <c r="P55" s="2" t="n">
        <v>0.16</v>
      </c>
      <c r="Q55" s="2" t="n">
        <v>0.0</v>
      </c>
      <c r="R55" s="2" t="n">
        <v>-0.0</v>
      </c>
      <c r="S55" s="2" t="n">
        <v>-0.0</v>
      </c>
      <c r="T55" s="2" t="n">
        <v>0.0</v>
      </c>
      <c r="U55" s="2" t="n">
        <v>0.0</v>
      </c>
      <c r="V55" s="2" t="n">
        <v>0.0</v>
      </c>
      <c r="W55" s="2" t="n">
        <v>0.0</v>
      </c>
      <c r="X55" s="0" t="n">
        <v>0.0</v>
      </c>
      <c r="Y55" s="2" t="s">
        <v>96</v>
      </c>
      <c r="Z55" s="0" t="n">
        <v>-0.0</v>
      </c>
      <c r="AA55" s="2" t="n">
        <v>0</v>
      </c>
      <c r="AB55" s="2" t="n">
        <v>0</v>
      </c>
      <c r="AC55" s="2" t="n">
        <v>0.0</v>
      </c>
      <c r="AD55" s="2" t="n">
        <v>0.0</v>
      </c>
      <c r="AE55" s="2" t="n">
        <v>0.0</v>
      </c>
      <c r="AF55" s="2" t="n">
        <v>-3.64</v>
      </c>
      <c r="AG55" s="0" t="n">
        <v>0.61</v>
      </c>
      <c r="AH55" s="0" t="n">
        <v>-0.43</v>
      </c>
      <c r="AI55" s="0" t="n">
        <v>-4.07</v>
      </c>
      <c r="AJ55" s="0" t="s">
        <v>6</v>
      </c>
      <c r="AK55" s="0" t="s">
        <v>6</v>
      </c>
      <c r="AL55" s="0" t="s">
        <v>208</v>
      </c>
      <c r="AM55" s="0" t="s">
        <v>209</v>
      </c>
      <c r="AN55" s="0" t="s">
        <v>69</v>
      </c>
    </row>
    <row r="56">
      <c r="A56" s="2" t="s">
        <v>203</v>
      </c>
      <c r="B56" s="0" t="s">
        <v>203</v>
      </c>
      <c r="C56" s="0" t="s">
        <v>63</v>
      </c>
      <c r="D56" s="0" t="s">
        <v>10</v>
      </c>
      <c r="E56" s="0" t="s">
        <v>14</v>
      </c>
      <c r="F56" s="0" t="s">
        <v>65</v>
      </c>
      <c r="G56" s="0" t="s">
        <v>210</v>
      </c>
      <c r="H56" s="2" t="n">
        <v>16.9</v>
      </c>
      <c r="I56" s="2" t="n">
        <v>16.9</v>
      </c>
      <c r="J56" s="2" t="n">
        <v>21.65</v>
      </c>
      <c r="K56" s="2" t="n">
        <v>0.0</v>
      </c>
      <c r="L56" s="2" t="n">
        <v>-6.5</v>
      </c>
      <c r="M56" s="2" t="n">
        <v>15.15</v>
      </c>
      <c r="N56" s="2" t="n">
        <v>0.0</v>
      </c>
      <c r="O56" s="2" t="n">
        <v>0.99</v>
      </c>
      <c r="P56" s="2" t="n">
        <v>0.16</v>
      </c>
      <c r="Q56" s="2" t="n">
        <v>0.76</v>
      </c>
      <c r="R56" s="2" t="n">
        <v>-0.0</v>
      </c>
      <c r="S56" s="2" t="n">
        <v>-0.0</v>
      </c>
      <c r="T56" s="2" t="n">
        <v>0.0</v>
      </c>
      <c r="U56" s="2" t="n">
        <v>0.0</v>
      </c>
      <c r="V56" s="2" t="n">
        <v>0.0</v>
      </c>
      <c r="W56" s="2" t="n">
        <v>0.0</v>
      </c>
      <c r="X56" s="0" t="n">
        <v>0.0</v>
      </c>
      <c r="Y56" s="2" t="s">
        <v>96</v>
      </c>
      <c r="Z56" s="0" t="n">
        <v>-0.0</v>
      </c>
      <c r="AA56" s="2" t="n">
        <v>0</v>
      </c>
      <c r="AB56" s="2" t="n">
        <v>0</v>
      </c>
      <c r="AC56" s="2" t="n">
        <v>0.0</v>
      </c>
      <c r="AD56" s="2" t="n">
        <v>0.0</v>
      </c>
      <c r="AE56" s="2" t="n">
        <v>0.0</v>
      </c>
      <c r="AF56" s="2" t="n">
        <v>-3.64</v>
      </c>
      <c r="AG56" s="0" t="n">
        <v>0.61</v>
      </c>
      <c r="AH56" s="0" t="n">
        <v>-0.44</v>
      </c>
      <c r="AI56" s="0" t="n">
        <v>-4.08</v>
      </c>
      <c r="AJ56" s="0" t="s">
        <v>6</v>
      </c>
      <c r="AK56" s="0" t="s">
        <v>6</v>
      </c>
      <c r="AL56" s="0" t="s">
        <v>211</v>
      </c>
      <c r="AM56" s="0" t="s">
        <v>212</v>
      </c>
      <c r="AN56" s="0" t="s">
        <v>69</v>
      </c>
    </row>
    <row r="57">
      <c r="A57" s="2" t="s">
        <v>203</v>
      </c>
      <c r="B57" s="0" t="s">
        <v>203</v>
      </c>
      <c r="C57" s="0" t="s">
        <v>165</v>
      </c>
      <c r="D57" s="0" t="s">
        <v>11</v>
      </c>
      <c r="E57" s="0" t="s">
        <v>14</v>
      </c>
      <c r="F57" s="0" t="s">
        <v>65</v>
      </c>
      <c r="G57" s="0" t="s">
        <v>213</v>
      </c>
      <c r="H57" s="2" t="n">
        <v>32.99</v>
      </c>
      <c r="I57" s="2" t="n">
        <v>32.99</v>
      </c>
      <c r="J57" s="2" t="n">
        <v>36.5</v>
      </c>
      <c r="K57" s="2" t="n">
        <v>5.0</v>
      </c>
      <c r="L57" s="2" t="n">
        <v>-6.5</v>
      </c>
      <c r="M57" s="2" t="n">
        <v>30.0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-0.0</v>
      </c>
      <c r="S57" s="2" t="n">
        <v>-0.0</v>
      </c>
      <c r="T57" s="2" t="n">
        <v>0.0</v>
      </c>
      <c r="U57" s="2" t="n">
        <v>-2.99</v>
      </c>
      <c r="V57" s="2" t="n">
        <v>0.0</v>
      </c>
      <c r="W57" s="2" t="n">
        <v>2.99</v>
      </c>
      <c r="X57" s="0" t="n">
        <v>0.0</v>
      </c>
      <c r="Y57" s="2" t="s">
        <v>96</v>
      </c>
      <c r="Z57" s="0" t="n">
        <v>-0.0</v>
      </c>
      <c r="AA57" s="2" t="n">
        <v>0</v>
      </c>
      <c r="AB57" s="2" t="n">
        <v>0</v>
      </c>
      <c r="AC57" s="2" t="n">
        <v>2.99</v>
      </c>
      <c r="AD57" s="2" t="n">
        <v>0.0</v>
      </c>
      <c r="AE57" s="2" t="n">
        <v>0</v>
      </c>
      <c r="AF57" s="2" t="n">
        <v>-7.2</v>
      </c>
      <c r="AG57" s="0" t="n">
        <v>1.2</v>
      </c>
      <c r="AH57" s="0" t="n">
        <v>-0.66</v>
      </c>
      <c r="AI57" s="0" t="n">
        <v>-7.86</v>
      </c>
      <c r="AJ57" s="0" t="s">
        <v>6</v>
      </c>
      <c r="AK57" s="0" t="s">
        <v>214</v>
      </c>
      <c r="AL57" s="0" t="s">
        <v>215</v>
      </c>
      <c r="AM57" s="0" t="s">
        <v>216</v>
      </c>
      <c r="AN57" s="0" t="s">
        <v>69</v>
      </c>
    </row>
    <row r="58">
      <c r="A58" s="2" t="s">
        <v>217</v>
      </c>
      <c r="B58" s="0" t="s">
        <v>217</v>
      </c>
      <c r="C58" s="0" t="s">
        <v>63</v>
      </c>
      <c r="D58" s="0" t="s">
        <v>11</v>
      </c>
      <c r="E58" s="0" t="s">
        <v>64</v>
      </c>
      <c r="F58" s="0" t="s">
        <v>65</v>
      </c>
      <c r="G58" s="0" t="s">
        <v>218</v>
      </c>
      <c r="H58" s="2" t="n">
        <v>38.08</v>
      </c>
      <c r="I58" s="2" t="n">
        <v>38.08</v>
      </c>
      <c r="J58" s="2" t="n">
        <v>37.5</v>
      </c>
      <c r="K58" s="2" t="n">
        <v>0.0</v>
      </c>
      <c r="L58" s="2" t="n">
        <v>-6.5</v>
      </c>
      <c r="M58" s="2" t="n">
        <v>31.0</v>
      </c>
      <c r="N58" s="2" t="n">
        <v>0.0</v>
      </c>
      <c r="O58" s="2" t="n">
        <v>0.99</v>
      </c>
      <c r="P58" s="2" t="n">
        <v>0.16</v>
      </c>
      <c r="Q58" s="2" t="n">
        <v>3.1</v>
      </c>
      <c r="R58" s="2" t="n">
        <v>-0.0</v>
      </c>
      <c r="S58" s="2" t="n">
        <v>-8.82</v>
      </c>
      <c r="T58" s="2" t="n">
        <v>1.47</v>
      </c>
      <c r="U58" s="2" t="n">
        <v>0.0</v>
      </c>
      <c r="V58" s="2" t="n">
        <v>0.0</v>
      </c>
      <c r="W58" s="2" t="n">
        <v>2.99</v>
      </c>
      <c r="X58" s="0" t="n">
        <v>5.83</v>
      </c>
      <c r="Y58" s="2" t="s">
        <v>96</v>
      </c>
      <c r="Z58" s="0" t="n">
        <v>-0.0</v>
      </c>
      <c r="AA58" s="2" t="n">
        <v>0</v>
      </c>
      <c r="AB58" s="2" t="n">
        <v>0</v>
      </c>
      <c r="AC58" s="2" t="n">
        <v>2.99</v>
      </c>
      <c r="AD58" s="2" t="n">
        <v>0.5</v>
      </c>
      <c r="AE58" s="2" t="n">
        <v>5.83</v>
      </c>
      <c r="AF58" s="2" t="n">
        <v>-7.44</v>
      </c>
      <c r="AG58" s="0" t="n">
        <v>1.24</v>
      </c>
      <c r="AH58" s="0" t="n">
        <v>-0.73</v>
      </c>
      <c r="AI58" s="0" t="n">
        <v>-16.99</v>
      </c>
      <c r="AJ58" s="0" t="s">
        <v>6</v>
      </c>
      <c r="AK58" s="0" t="s">
        <v>219</v>
      </c>
      <c r="AL58" s="0" t="s">
        <v>220</v>
      </c>
      <c r="AM58" s="0" t="s">
        <v>221</v>
      </c>
      <c r="AN58" s="0" t="s">
        <v>79</v>
      </c>
    </row>
    <row r="59">
      <c r="A59" s="2" t="s">
        <v>222</v>
      </c>
      <c r="B59" s="0" t="s">
        <v>222</v>
      </c>
      <c r="C59" s="0" t="s">
        <v>63</v>
      </c>
      <c r="D59" s="0" t="s">
        <v>10</v>
      </c>
      <c r="E59" s="0" t="s">
        <v>64</v>
      </c>
      <c r="F59" s="0" t="s">
        <v>65</v>
      </c>
      <c r="G59" s="0" t="s">
        <v>223</v>
      </c>
      <c r="H59" s="2" t="n">
        <v>30.44</v>
      </c>
      <c r="I59" s="2" t="n">
        <v>30.44</v>
      </c>
      <c r="J59" s="2" t="n">
        <v>29.45</v>
      </c>
      <c r="K59" s="2" t="n">
        <v>0.0</v>
      </c>
      <c r="L59" s="2" t="n">
        <v>-0.0</v>
      </c>
      <c r="M59" s="2" t="n">
        <v>29.45</v>
      </c>
      <c r="N59" s="2" t="n">
        <v>0.0</v>
      </c>
      <c r="O59" s="2" t="n">
        <v>0.99</v>
      </c>
      <c r="P59" s="2" t="n">
        <v>0.16</v>
      </c>
      <c r="Q59" s="2" t="n">
        <v>0.0</v>
      </c>
      <c r="R59" s="2" t="n">
        <v>-0.0</v>
      </c>
      <c r="S59" s="2" t="n">
        <v>-0.0</v>
      </c>
      <c r="T59" s="2" t="n">
        <v>0.0</v>
      </c>
      <c r="U59" s="2" t="n">
        <v>0.0</v>
      </c>
      <c r="V59" s="2" t="n">
        <v>0.0</v>
      </c>
      <c r="W59" s="2" t="n">
        <v>0.0</v>
      </c>
      <c r="X59" s="0" t="n">
        <v>0.0</v>
      </c>
      <c r="Y59" s="2" t="s">
        <v>6</v>
      </c>
      <c r="Z59" s="0" t="n">
        <v>-0.0</v>
      </c>
      <c r="AA59" s="2" t="n">
        <v>0</v>
      </c>
      <c r="AB59" s="2" t="n">
        <v>0</v>
      </c>
      <c r="AC59" s="2" t="n">
        <v>0.0</v>
      </c>
      <c r="AD59" s="2" t="n">
        <v>0.0</v>
      </c>
      <c r="AE59" s="2" t="n">
        <v>0.0</v>
      </c>
      <c r="AF59" s="2" t="n">
        <v>-7.07</v>
      </c>
      <c r="AG59" s="0" t="n">
        <v>1.18</v>
      </c>
      <c r="AH59" s="0" t="n">
        <v>-0.63</v>
      </c>
      <c r="AI59" s="0" t="n">
        <v>-7.7</v>
      </c>
      <c r="AJ59" s="0" t="s">
        <v>6</v>
      </c>
      <c r="AK59" s="0" t="s">
        <v>6</v>
      </c>
      <c r="AL59" s="0" t="s">
        <v>224</v>
      </c>
      <c r="AM59" s="0" t="s">
        <v>225</v>
      </c>
      <c r="AN59" s="0" t="s">
        <v>69</v>
      </c>
    </row>
    <row r="60">
      <c r="A60" s="2" t="s">
        <v>222</v>
      </c>
      <c r="B60" s="0" t="s">
        <v>222</v>
      </c>
      <c r="C60" s="0" t="s">
        <v>165</v>
      </c>
      <c r="D60" s="0" t="s">
        <v>11</v>
      </c>
      <c r="E60" s="0" t="s">
        <v>14</v>
      </c>
      <c r="F60" s="0" t="s">
        <v>65</v>
      </c>
      <c r="G60" s="0" t="s">
        <v>226</v>
      </c>
      <c r="H60" s="2" t="n">
        <v>37.84</v>
      </c>
      <c r="I60" s="2" t="n">
        <v>37.84</v>
      </c>
      <c r="J60" s="2" t="n">
        <v>34.85</v>
      </c>
      <c r="K60" s="2" t="n">
        <v>0.0</v>
      </c>
      <c r="L60" s="2" t="n">
        <v>-0.0</v>
      </c>
      <c r="M60" s="2" t="n">
        <v>34.85</v>
      </c>
      <c r="N60" s="2" t="n">
        <v>0.0</v>
      </c>
      <c r="O60" s="2" t="n">
        <v>0.0</v>
      </c>
      <c r="P60" s="2" t="n">
        <v>0.0</v>
      </c>
      <c r="Q60" s="2" t="n">
        <v>0.0</v>
      </c>
      <c r="R60" s="2" t="n">
        <v>-0.0</v>
      </c>
      <c r="S60" s="2" t="n">
        <v>-0.0</v>
      </c>
      <c r="T60" s="2" t="n">
        <v>0.0</v>
      </c>
      <c r="U60" s="2" t="n">
        <v>-2.99</v>
      </c>
      <c r="V60" s="2" t="n">
        <v>0.0</v>
      </c>
      <c r="W60" s="2" t="n">
        <v>2.99</v>
      </c>
      <c r="X60" s="0" t="n">
        <v>0.0</v>
      </c>
      <c r="Y60" s="2" t="s">
        <v>6</v>
      </c>
      <c r="Z60" s="0" t="n">
        <v>-0.0</v>
      </c>
      <c r="AA60" s="2" t="n">
        <v>0</v>
      </c>
      <c r="AB60" s="2" t="n">
        <v>0</v>
      </c>
      <c r="AC60" s="2" t="n">
        <v>2.99</v>
      </c>
      <c r="AD60" s="2" t="n">
        <v>0.0</v>
      </c>
      <c r="AE60" s="2" t="n">
        <v>0</v>
      </c>
      <c r="AF60" s="2" t="n">
        <v>-8.37</v>
      </c>
      <c r="AG60" s="0" t="n">
        <v>1.4</v>
      </c>
      <c r="AH60" s="0" t="n">
        <v>-0.73</v>
      </c>
      <c r="AI60" s="0" t="n">
        <v>-9.1</v>
      </c>
      <c r="AJ60" s="0" t="s">
        <v>6</v>
      </c>
      <c r="AK60" s="0" t="s">
        <v>227</v>
      </c>
      <c r="AL60" s="0" t="s">
        <v>228</v>
      </c>
      <c r="AM60" s="0" t="s">
        <v>229</v>
      </c>
      <c r="AN60" s="0" t="s">
        <v>69</v>
      </c>
    </row>
    <row r="61">
      <c r="A61" s="2" t="s">
        <v>230</v>
      </c>
      <c r="B61" s="0" t="s">
        <v>230</v>
      </c>
      <c r="C61" s="0" t="s">
        <v>63</v>
      </c>
      <c r="D61" s="0" t="s">
        <v>10</v>
      </c>
      <c r="E61" s="0" t="s">
        <v>64</v>
      </c>
      <c r="F61" s="0" t="s">
        <v>65</v>
      </c>
      <c r="G61" s="0" t="s">
        <v>231</v>
      </c>
      <c r="H61" s="2" t="n">
        <v>16.94</v>
      </c>
      <c r="I61" s="2" t="n">
        <v>16.94</v>
      </c>
      <c r="J61" s="2" t="n">
        <v>22.45</v>
      </c>
      <c r="K61" s="2" t="n">
        <v>0.0</v>
      </c>
      <c r="L61" s="2" t="n">
        <v>-6.5</v>
      </c>
      <c r="M61" s="2" t="n">
        <v>15.95</v>
      </c>
      <c r="N61" s="2" t="n">
        <v>0.0</v>
      </c>
      <c r="O61" s="2" t="n">
        <v>0.99</v>
      </c>
      <c r="P61" s="2" t="n">
        <v>0.16</v>
      </c>
      <c r="Q61" s="2" t="n">
        <v>0.0</v>
      </c>
      <c r="R61" s="2" t="n">
        <v>-0.0</v>
      </c>
      <c r="S61" s="2" t="n">
        <v>-0.0</v>
      </c>
      <c r="T61" s="2" t="n">
        <v>0.0</v>
      </c>
      <c r="U61" s="2" t="n">
        <v>0.0</v>
      </c>
      <c r="V61" s="2" t="n">
        <v>0.0</v>
      </c>
      <c r="W61" s="2" t="n">
        <v>0.0</v>
      </c>
      <c r="X61" s="0" t="n">
        <v>0.0</v>
      </c>
      <c r="Y61" s="2" t="s">
        <v>96</v>
      </c>
      <c r="Z61" s="0" t="n">
        <v>-0.0</v>
      </c>
      <c r="AA61" s="2" t="n">
        <v>0</v>
      </c>
      <c r="AB61" s="2" t="n">
        <v>0</v>
      </c>
      <c r="AC61" s="2" t="n">
        <v>0.0</v>
      </c>
      <c r="AD61" s="2" t="n">
        <v>0.0</v>
      </c>
      <c r="AE61" s="2" t="n">
        <v>0.0</v>
      </c>
      <c r="AF61" s="2" t="n">
        <v>-3.83</v>
      </c>
      <c r="AG61" s="0" t="n">
        <v>0.64</v>
      </c>
      <c r="AH61" s="0" t="n">
        <v>-0.44</v>
      </c>
      <c r="AI61" s="0" t="n">
        <v>-4.27</v>
      </c>
      <c r="AJ61" s="0" t="s">
        <v>6</v>
      </c>
      <c r="AK61" s="0" t="s">
        <v>6</v>
      </c>
      <c r="AL61" s="0" t="s">
        <v>232</v>
      </c>
      <c r="AM61" s="0" t="s">
        <v>233</v>
      </c>
      <c r="AN61" s="0" t="s">
        <v>69</v>
      </c>
    </row>
    <row r="62">
      <c r="A62" s="2" t="s">
        <v>234</v>
      </c>
      <c r="B62" s="0" t="s">
        <v>234</v>
      </c>
      <c r="C62" s="0" t="s">
        <v>63</v>
      </c>
      <c r="D62" s="0" t="s">
        <v>10</v>
      </c>
      <c r="E62" s="0" t="s">
        <v>64</v>
      </c>
      <c r="F62" s="0" t="s">
        <v>65</v>
      </c>
      <c r="G62" s="0" t="s">
        <v>235</v>
      </c>
      <c r="H62" s="2" t="n">
        <v>24.89</v>
      </c>
      <c r="I62" s="2" t="n">
        <v>24.89</v>
      </c>
      <c r="J62" s="2" t="n">
        <v>23.9</v>
      </c>
      <c r="K62" s="2" t="n">
        <v>0.0</v>
      </c>
      <c r="L62" s="2" t="n">
        <v>-0.0</v>
      </c>
      <c r="M62" s="2" t="n">
        <v>23.9</v>
      </c>
      <c r="N62" s="2" t="n">
        <v>0.0</v>
      </c>
      <c r="O62" s="2" t="n">
        <v>0.99</v>
      </c>
      <c r="P62" s="2" t="n">
        <v>0.16</v>
      </c>
      <c r="Q62" s="2" t="n">
        <v>0.0</v>
      </c>
      <c r="R62" s="2" t="n">
        <v>-0.0</v>
      </c>
      <c r="S62" s="2" t="n">
        <v>-0.0</v>
      </c>
      <c r="T62" s="2" t="n">
        <v>0.0</v>
      </c>
      <c r="U62" s="2" t="n">
        <v>0.0</v>
      </c>
      <c r="V62" s="2" t="n">
        <v>0.0</v>
      </c>
      <c r="W62" s="2" t="n">
        <v>0.0</v>
      </c>
      <c r="X62" s="0" t="n">
        <v>0.0</v>
      </c>
      <c r="Y62" s="2" t="s">
        <v>6</v>
      </c>
      <c r="Z62" s="0" t="n">
        <v>-0.0</v>
      </c>
      <c r="AA62" s="2" t="n">
        <v>0</v>
      </c>
      <c r="AB62" s="2" t="n">
        <v>0</v>
      </c>
      <c r="AC62" s="2" t="n">
        <v>0.0</v>
      </c>
      <c r="AD62" s="2" t="n">
        <v>0.0</v>
      </c>
      <c r="AE62" s="2" t="n">
        <v>0.0</v>
      </c>
      <c r="AF62" s="2" t="n">
        <v>-5.74</v>
      </c>
      <c r="AG62" s="0" t="n">
        <v>0.96</v>
      </c>
      <c r="AH62" s="0" t="n">
        <v>-0.55</v>
      </c>
      <c r="AI62" s="0" t="n">
        <v>-6.29</v>
      </c>
      <c r="AJ62" s="0" t="s">
        <v>6</v>
      </c>
      <c r="AK62" s="0" t="s">
        <v>6</v>
      </c>
      <c r="AL62" s="0" t="s">
        <v>236</v>
      </c>
      <c r="AM62" s="0" t="s">
        <v>237</v>
      </c>
      <c r="AN62" s="0" t="s">
        <v>69</v>
      </c>
    </row>
    <row r="63">
      <c r="A63" s="2" t="s">
        <v>234</v>
      </c>
      <c r="B63" s="0" t="s">
        <v>234</v>
      </c>
      <c r="C63" s="0" t="s">
        <v>238</v>
      </c>
      <c r="D63" s="0" t="s">
        <v>11</v>
      </c>
      <c r="E63" s="0" t="s">
        <v>14</v>
      </c>
      <c r="F63" s="0" t="s">
        <v>65</v>
      </c>
      <c r="G63" s="0" t="s">
        <v>239</v>
      </c>
      <c r="H63" s="2" t="n">
        <v>15.53</v>
      </c>
      <c r="I63" s="2" t="n">
        <v>15.53</v>
      </c>
      <c r="J63" s="2" t="n">
        <v>16.5</v>
      </c>
      <c r="K63" s="2" t="n">
        <v>0.0</v>
      </c>
      <c r="L63" s="2" t="n">
        <v>-4.95</v>
      </c>
      <c r="M63" s="2" t="n">
        <v>11.55</v>
      </c>
      <c r="N63" s="2" t="n">
        <v>0.0</v>
      </c>
      <c r="O63" s="2" t="n">
        <v>0.99</v>
      </c>
      <c r="P63" s="2" t="n">
        <v>0.16</v>
      </c>
      <c r="Q63" s="2" t="n">
        <v>0.0</v>
      </c>
      <c r="R63" s="2" t="n">
        <v>-0.0</v>
      </c>
      <c r="S63" s="2" t="n">
        <v>-8.82</v>
      </c>
      <c r="T63" s="2" t="n">
        <v>1.47</v>
      </c>
      <c r="U63" s="2" t="n">
        <v>0.0</v>
      </c>
      <c r="V63" s="2" t="n">
        <v>0.0</v>
      </c>
      <c r="W63" s="2" t="n">
        <v>2.99</v>
      </c>
      <c r="X63" s="0" t="n">
        <v>5.83</v>
      </c>
      <c r="Y63" s="2" t="s">
        <v>240</v>
      </c>
      <c r="Z63" s="0" t="n">
        <v>-0.0</v>
      </c>
      <c r="AA63" s="2" t="n">
        <v>0</v>
      </c>
      <c r="AB63" s="2" t="n">
        <v>0</v>
      </c>
      <c r="AC63" s="2" t="n">
        <v>2.99</v>
      </c>
      <c r="AD63" s="2" t="n">
        <v>0.5</v>
      </c>
      <c r="AE63" s="2" t="n">
        <v>5.83</v>
      </c>
      <c r="AF63" s="2" t="n">
        <v>-2.78</v>
      </c>
      <c r="AG63" s="0" t="n">
        <v>0.46</v>
      </c>
      <c r="AH63" s="0" t="n">
        <v>-0.42</v>
      </c>
      <c r="AI63" s="0" t="n">
        <v>-12.02</v>
      </c>
      <c r="AJ63" s="0" t="s">
        <v>6</v>
      </c>
      <c r="AK63" s="0" t="s">
        <v>241</v>
      </c>
      <c r="AL63" s="0" t="s">
        <v>242</v>
      </c>
      <c r="AM63" s="0" t="s">
        <v>243</v>
      </c>
      <c r="AN63" s="0" t="s">
        <v>79</v>
      </c>
    </row>
    <row r="64">
      <c r="A64" s="2" t="s">
        <v>234</v>
      </c>
      <c r="B64" s="0" t="s">
        <v>234</v>
      </c>
      <c r="C64" s="0" t="s">
        <v>63</v>
      </c>
      <c r="D64" s="0" t="s">
        <v>10</v>
      </c>
      <c r="E64" s="0" t="s">
        <v>64</v>
      </c>
      <c r="F64" s="0" t="s">
        <v>65</v>
      </c>
      <c r="G64" s="0" t="s">
        <v>244</v>
      </c>
      <c r="H64" s="2" t="n">
        <v>34.47</v>
      </c>
      <c r="I64" s="2" t="n">
        <v>34.47</v>
      </c>
      <c r="J64" s="2" t="n">
        <v>38.48</v>
      </c>
      <c r="K64" s="2" t="n">
        <v>0.0</v>
      </c>
      <c r="L64" s="2" t="n">
        <v>-5.0</v>
      </c>
      <c r="M64" s="2" t="n">
        <v>33.48</v>
      </c>
      <c r="N64" s="2" t="n">
        <v>0.0</v>
      </c>
      <c r="O64" s="2" t="n">
        <v>0.99</v>
      </c>
      <c r="P64" s="2" t="n">
        <v>0.16</v>
      </c>
      <c r="Q64" s="2" t="n">
        <v>0.0</v>
      </c>
      <c r="R64" s="2" t="n">
        <v>-0.0</v>
      </c>
      <c r="S64" s="2" t="n">
        <v>-0.0</v>
      </c>
      <c r="T64" s="2" t="n">
        <v>0.0</v>
      </c>
      <c r="U64" s="2" t="n">
        <v>0.0</v>
      </c>
      <c r="V64" s="2" t="n">
        <v>0.0</v>
      </c>
      <c r="W64" s="2" t="n">
        <v>0.0</v>
      </c>
      <c r="X64" s="0" t="n">
        <v>0.0</v>
      </c>
      <c r="Y64" s="2" t="s">
        <v>245</v>
      </c>
      <c r="Z64" s="0" t="n">
        <v>-0.0</v>
      </c>
      <c r="AA64" s="2" t="n">
        <v>0</v>
      </c>
      <c r="AB64" s="2" t="n">
        <v>0</v>
      </c>
      <c r="AC64" s="2" t="n">
        <v>0.0</v>
      </c>
      <c r="AD64" s="2" t="n">
        <v>0.0</v>
      </c>
      <c r="AE64" s="2" t="n">
        <v>0.0</v>
      </c>
      <c r="AF64" s="2" t="n">
        <v>-8.04</v>
      </c>
      <c r="AG64" s="0" t="n">
        <v>1.34</v>
      </c>
      <c r="AH64" s="0" t="n">
        <v>-0.68</v>
      </c>
      <c r="AI64" s="0" t="n">
        <v>-8.72</v>
      </c>
      <c r="AJ64" s="0" t="s">
        <v>6</v>
      </c>
      <c r="AK64" s="0" t="s">
        <v>6</v>
      </c>
      <c r="AL64" s="0" t="s">
        <v>246</v>
      </c>
      <c r="AM64" s="0" t="s">
        <v>247</v>
      </c>
      <c r="AN64" s="0" t="s">
        <v>69</v>
      </c>
    </row>
    <row r="65">
      <c r="A65" s="2" t="s">
        <v>234</v>
      </c>
      <c r="B65" s="0" t="s">
        <v>234</v>
      </c>
      <c r="C65" s="0" t="s">
        <v>63</v>
      </c>
      <c r="D65" s="0" t="s">
        <v>10</v>
      </c>
      <c r="E65" s="0" t="s">
        <v>14</v>
      </c>
      <c r="F65" s="0" t="s">
        <v>65</v>
      </c>
      <c r="G65" s="0" t="s">
        <v>248</v>
      </c>
      <c r="H65" s="2" t="n">
        <v>22.49</v>
      </c>
      <c r="I65" s="2" t="n">
        <v>22.49</v>
      </c>
      <c r="J65" s="2" t="n">
        <v>21.5</v>
      </c>
      <c r="K65" s="2" t="n">
        <v>0.0</v>
      </c>
      <c r="L65" s="2" t="n">
        <v>-0.0</v>
      </c>
      <c r="M65" s="2" t="n">
        <v>21.5</v>
      </c>
      <c r="N65" s="2" t="n">
        <v>0.0</v>
      </c>
      <c r="O65" s="2" t="n">
        <v>0.99</v>
      </c>
      <c r="P65" s="2" t="n">
        <v>0.16</v>
      </c>
      <c r="Q65" s="2" t="n">
        <v>0.0</v>
      </c>
      <c r="R65" s="2" t="n">
        <v>-0.0</v>
      </c>
      <c r="S65" s="2" t="n">
        <v>-0.0</v>
      </c>
      <c r="T65" s="2" t="n">
        <v>0.0</v>
      </c>
      <c r="U65" s="2" t="n">
        <v>0.0</v>
      </c>
      <c r="V65" s="2" t="n">
        <v>0.0</v>
      </c>
      <c r="W65" s="2" t="n">
        <v>0.0</v>
      </c>
      <c r="X65" s="0" t="n">
        <v>0.0</v>
      </c>
      <c r="Y65" s="2" t="s">
        <v>6</v>
      </c>
      <c r="Z65" s="0" t="n">
        <v>-0.0</v>
      </c>
      <c r="AA65" s="2" t="n">
        <v>0</v>
      </c>
      <c r="AB65" s="2" t="n">
        <v>0</v>
      </c>
      <c r="AC65" s="2" t="n">
        <v>0.0</v>
      </c>
      <c r="AD65" s="2" t="n">
        <v>0.0</v>
      </c>
      <c r="AE65" s="2" t="n">
        <v>0.0</v>
      </c>
      <c r="AF65" s="2" t="n">
        <v>-5.16</v>
      </c>
      <c r="AG65" s="0" t="n">
        <v>0.86</v>
      </c>
      <c r="AH65" s="0" t="n">
        <v>-0.51</v>
      </c>
      <c r="AI65" s="0" t="n">
        <v>-5.67</v>
      </c>
      <c r="AJ65" s="0" t="s">
        <v>6</v>
      </c>
      <c r="AK65" s="0" t="s">
        <v>6</v>
      </c>
      <c r="AL65" s="0" t="s">
        <v>249</v>
      </c>
      <c r="AM65" s="0" t="s">
        <v>250</v>
      </c>
      <c r="AN65" s="0" t="s">
        <v>69</v>
      </c>
    </row>
    <row r="66">
      <c r="A66" s="2" t="s">
        <v>234</v>
      </c>
      <c r="B66" s="0" t="s">
        <v>234</v>
      </c>
      <c r="C66" s="0" t="s">
        <v>63</v>
      </c>
      <c r="D66" s="0" t="s">
        <v>10</v>
      </c>
      <c r="E66" s="0" t="s">
        <v>64</v>
      </c>
      <c r="F66" s="0" t="s">
        <v>65</v>
      </c>
      <c r="G66" s="0" t="s">
        <v>251</v>
      </c>
      <c r="H66" s="2" t="n">
        <v>38.84</v>
      </c>
      <c r="I66" s="2" t="n">
        <v>38.84</v>
      </c>
      <c r="J66" s="2" t="n">
        <v>44.35</v>
      </c>
      <c r="K66" s="2" t="n">
        <v>0.0</v>
      </c>
      <c r="L66" s="2" t="n">
        <v>-6.5</v>
      </c>
      <c r="M66" s="2" t="n">
        <v>37.85</v>
      </c>
      <c r="N66" s="2" t="n">
        <v>0.0</v>
      </c>
      <c r="O66" s="2" t="n">
        <v>0.99</v>
      </c>
      <c r="P66" s="2" t="n">
        <v>0.16</v>
      </c>
      <c r="Q66" s="2" t="n">
        <v>0.0</v>
      </c>
      <c r="R66" s="2" t="n">
        <v>-0.0</v>
      </c>
      <c r="S66" s="2" t="n">
        <v>-0.0</v>
      </c>
      <c r="T66" s="2" t="n">
        <v>0.0</v>
      </c>
      <c r="U66" s="2" t="n">
        <v>0.0</v>
      </c>
      <c r="V66" s="2" t="n">
        <v>0.0</v>
      </c>
      <c r="W66" s="2" t="n">
        <v>0.0</v>
      </c>
      <c r="X66" s="0" t="n">
        <v>0.0</v>
      </c>
      <c r="Y66" s="2" t="s">
        <v>96</v>
      </c>
      <c r="Z66" s="0" t="n">
        <v>-0.0</v>
      </c>
      <c r="AA66" s="2" t="n">
        <v>0</v>
      </c>
      <c r="AB66" s="2" t="n">
        <v>0</v>
      </c>
      <c r="AC66" s="2" t="n">
        <v>0.0</v>
      </c>
      <c r="AD66" s="2" t="n">
        <v>0.0</v>
      </c>
      <c r="AE66" s="2" t="n">
        <v>0.0</v>
      </c>
      <c r="AF66" s="2" t="n">
        <v>-9.09</v>
      </c>
      <c r="AG66" s="0" t="n">
        <v>1.52</v>
      </c>
      <c r="AH66" s="0" t="n">
        <v>-1.33</v>
      </c>
      <c r="AI66" s="0" t="n">
        <v>-10.42</v>
      </c>
      <c r="AJ66" s="0" t="s">
        <v>6</v>
      </c>
      <c r="AK66" s="0" t="s">
        <v>6</v>
      </c>
      <c r="AL66" s="0" t="s">
        <v>252</v>
      </c>
      <c r="AM66" s="0" t="s">
        <v>253</v>
      </c>
      <c r="AN66" s="0" t="s">
        <v>69</v>
      </c>
    </row>
    <row r="67">
      <c r="A67" s="2" t="s">
        <v>234</v>
      </c>
      <c r="B67" s="0" t="s">
        <v>234</v>
      </c>
      <c r="C67" s="0" t="s">
        <v>165</v>
      </c>
      <c r="D67" s="0" t="s">
        <v>11</v>
      </c>
      <c r="E67" s="0" t="s">
        <v>64</v>
      </c>
      <c r="F67" s="0" t="s">
        <v>65</v>
      </c>
      <c r="G67" s="0" t="s">
        <v>254</v>
      </c>
      <c r="H67" s="2" t="n">
        <v>17.64</v>
      </c>
      <c r="I67" s="2" t="n">
        <v>17.64</v>
      </c>
      <c r="J67" s="2" t="n">
        <v>20.45</v>
      </c>
      <c r="K67" s="2" t="n">
        <v>0.0</v>
      </c>
      <c r="L67" s="2" t="n">
        <v>-6.5</v>
      </c>
      <c r="M67" s="2" t="n">
        <v>13.95</v>
      </c>
      <c r="N67" s="2" t="n">
        <v>0.0</v>
      </c>
      <c r="O67" s="2" t="n">
        <v>0.0</v>
      </c>
      <c r="P67" s="2" t="n">
        <v>0.0</v>
      </c>
      <c r="Q67" s="2" t="n">
        <v>0.7</v>
      </c>
      <c r="R67" s="2" t="n">
        <v>-0.0</v>
      </c>
      <c r="S67" s="2" t="n">
        <v>-0.0</v>
      </c>
      <c r="T67" s="2" t="n">
        <v>0.0</v>
      </c>
      <c r="U67" s="2" t="n">
        <v>-2.99</v>
      </c>
      <c r="V67" s="2" t="n">
        <v>0.0</v>
      </c>
      <c r="W67" s="2" t="n">
        <v>2.99</v>
      </c>
      <c r="X67" s="0" t="n">
        <v>0.0</v>
      </c>
      <c r="Y67" s="2" t="s">
        <v>96</v>
      </c>
      <c r="Z67" s="0" t="n">
        <v>-0.0</v>
      </c>
      <c r="AA67" s="2" t="n">
        <v>0</v>
      </c>
      <c r="AB67" s="2" t="n">
        <v>0</v>
      </c>
      <c r="AC67" s="2" t="n">
        <v>2.99</v>
      </c>
      <c r="AD67" s="2" t="n">
        <v>0.0</v>
      </c>
      <c r="AE67" s="2" t="n">
        <v>0</v>
      </c>
      <c r="AF67" s="2" t="n">
        <v>-3.35</v>
      </c>
      <c r="AG67" s="0" t="n">
        <v>0.56</v>
      </c>
      <c r="AH67" s="0" t="n">
        <v>-0.45</v>
      </c>
      <c r="AI67" s="0" t="n">
        <v>-3.8</v>
      </c>
      <c r="AJ67" s="0" t="s">
        <v>6</v>
      </c>
      <c r="AK67" s="0" t="s">
        <v>255</v>
      </c>
      <c r="AL67" s="0" t="s">
        <v>256</v>
      </c>
      <c r="AM67" s="0" t="s">
        <v>257</v>
      </c>
      <c r="AN67" s="0" t="s">
        <v>69</v>
      </c>
    </row>
    <row r="68">
      <c r="A68" s="2" t="s">
        <v>234</v>
      </c>
      <c r="B68" s="0" t="s">
        <v>234</v>
      </c>
      <c r="C68" s="0" t="s">
        <v>165</v>
      </c>
      <c r="D68" s="0" t="s">
        <v>10</v>
      </c>
      <c r="E68" s="0" t="s">
        <v>64</v>
      </c>
      <c r="F68" s="0" t="s">
        <v>65</v>
      </c>
      <c r="G68" s="0" t="s">
        <v>258</v>
      </c>
      <c r="H68" s="2" t="n">
        <v>21.45</v>
      </c>
      <c r="I68" s="2" t="n">
        <v>21.45</v>
      </c>
      <c r="J68" s="2" t="n">
        <v>27.95</v>
      </c>
      <c r="K68" s="2" t="n">
        <v>0.0</v>
      </c>
      <c r="L68" s="2" t="n">
        <v>-6.5</v>
      </c>
      <c r="M68" s="2" t="n">
        <v>21.45</v>
      </c>
      <c r="N68" s="2" t="n">
        <v>0.0</v>
      </c>
      <c r="O68" s="2" t="n">
        <v>0.0</v>
      </c>
      <c r="P68" s="2" t="n">
        <v>0.0</v>
      </c>
      <c r="Q68" s="2" t="n">
        <v>0.0</v>
      </c>
      <c r="R68" s="2" t="n">
        <v>-0.0</v>
      </c>
      <c r="S68" s="2" t="n">
        <v>-0.0</v>
      </c>
      <c r="T68" s="2" t="n">
        <v>0.0</v>
      </c>
      <c r="U68" s="2" t="n">
        <v>0.0</v>
      </c>
      <c r="V68" s="2" t="n">
        <v>0.0</v>
      </c>
      <c r="W68" s="2" t="n">
        <v>0.0</v>
      </c>
      <c r="X68" s="0" t="n">
        <v>0.0</v>
      </c>
      <c r="Y68" s="2" t="s">
        <v>96</v>
      </c>
      <c r="Z68" s="0" t="n">
        <v>-0.0</v>
      </c>
      <c r="AA68" s="2" t="n">
        <v>0</v>
      </c>
      <c r="AB68" s="2" t="n">
        <v>0</v>
      </c>
      <c r="AC68" s="2" t="n">
        <v>0.0</v>
      </c>
      <c r="AD68" s="2" t="n">
        <v>0.0</v>
      </c>
      <c r="AE68" s="2" t="n">
        <v>0.0</v>
      </c>
      <c r="AF68" s="2" t="n">
        <v>-5.15</v>
      </c>
      <c r="AG68" s="0" t="n">
        <v>0.86</v>
      </c>
      <c r="AH68" s="0" t="n">
        <v>-0.5</v>
      </c>
      <c r="AI68" s="0" t="n">
        <v>-5.65</v>
      </c>
      <c r="AJ68" s="0" t="s">
        <v>6</v>
      </c>
      <c r="AK68" s="0" t="s">
        <v>6</v>
      </c>
      <c r="AL68" s="0" t="s">
        <v>259</v>
      </c>
      <c r="AM68" s="0" t="s">
        <v>260</v>
      </c>
      <c r="AN68" s="0" t="s">
        <v>69</v>
      </c>
    </row>
    <row r="69">
      <c r="A69" s="2" t="s">
        <v>234</v>
      </c>
      <c r="B69" s="0" t="s">
        <v>234</v>
      </c>
      <c r="C69" s="0" t="s">
        <v>63</v>
      </c>
      <c r="D69" s="0" t="s">
        <v>10</v>
      </c>
      <c r="E69" s="0" t="s">
        <v>14</v>
      </c>
      <c r="F69" s="0" t="s">
        <v>65</v>
      </c>
      <c r="G69" s="0" t="s">
        <v>261</v>
      </c>
      <c r="H69" s="2" t="n">
        <v>28.89</v>
      </c>
      <c r="I69" s="2" t="n">
        <v>28.89</v>
      </c>
      <c r="J69" s="2" t="n">
        <v>27.9</v>
      </c>
      <c r="K69" s="2" t="n">
        <v>0.0</v>
      </c>
      <c r="L69" s="2" t="n">
        <v>-0.0</v>
      </c>
      <c r="M69" s="2" t="n">
        <v>27.9</v>
      </c>
      <c r="N69" s="2" t="n">
        <v>0.0</v>
      </c>
      <c r="O69" s="2" t="n">
        <v>0.99</v>
      </c>
      <c r="P69" s="2" t="n">
        <v>0.16</v>
      </c>
      <c r="Q69" s="2" t="n">
        <v>0.0</v>
      </c>
      <c r="R69" s="2" t="n">
        <v>-0.0</v>
      </c>
      <c r="S69" s="2" t="n">
        <v>-0.0</v>
      </c>
      <c r="T69" s="2" t="n">
        <v>0.0</v>
      </c>
      <c r="U69" s="2" t="n">
        <v>0.0</v>
      </c>
      <c r="V69" s="2" t="n">
        <v>0.0</v>
      </c>
      <c r="W69" s="2" t="n">
        <v>0.0</v>
      </c>
      <c r="X69" s="0" t="n">
        <v>0.0</v>
      </c>
      <c r="Y69" s="2" t="s">
        <v>6</v>
      </c>
      <c r="Z69" s="0" t="n">
        <v>-0.0</v>
      </c>
      <c r="AA69" s="2" t="n">
        <v>0</v>
      </c>
      <c r="AB69" s="2" t="n">
        <v>0</v>
      </c>
      <c r="AC69" s="2" t="n">
        <v>0.0</v>
      </c>
      <c r="AD69" s="2" t="n">
        <v>0.0</v>
      </c>
      <c r="AE69" s="2" t="n">
        <v>0.0</v>
      </c>
      <c r="AF69" s="2" t="n">
        <v>-6.7</v>
      </c>
      <c r="AG69" s="0" t="n">
        <v>1.12</v>
      </c>
      <c r="AH69" s="0" t="n">
        <v>-0.6</v>
      </c>
      <c r="AI69" s="0" t="n">
        <v>-7.3</v>
      </c>
      <c r="AJ69" s="0" t="s">
        <v>6</v>
      </c>
      <c r="AK69" s="0" t="s">
        <v>6</v>
      </c>
      <c r="AL69" s="0" t="s">
        <v>262</v>
      </c>
      <c r="AM69" s="0" t="s">
        <v>263</v>
      </c>
      <c r="AN69" s="0" t="s">
        <v>69</v>
      </c>
    </row>
    <row r="70">
      <c r="A70" s="2" t="s">
        <v>234</v>
      </c>
      <c r="B70" s="0" t="s">
        <v>234</v>
      </c>
      <c r="C70" s="0" t="s">
        <v>63</v>
      </c>
      <c r="D70" s="0" t="s">
        <v>10</v>
      </c>
      <c r="E70" s="0" t="s">
        <v>14</v>
      </c>
      <c r="F70" s="0" t="s">
        <v>65</v>
      </c>
      <c r="G70" s="0" t="s">
        <v>264</v>
      </c>
      <c r="H70" s="2" t="n">
        <v>14.94</v>
      </c>
      <c r="I70" s="2" t="n">
        <v>14.94</v>
      </c>
      <c r="J70" s="2" t="n">
        <v>13.95</v>
      </c>
      <c r="K70" s="2" t="n">
        <v>0.0</v>
      </c>
      <c r="L70" s="2" t="n">
        <v>-0.0</v>
      </c>
      <c r="M70" s="2" t="n">
        <v>13.95</v>
      </c>
      <c r="N70" s="2" t="n">
        <v>0.0</v>
      </c>
      <c r="O70" s="2" t="n">
        <v>0.99</v>
      </c>
      <c r="P70" s="2" t="n">
        <v>0.16</v>
      </c>
      <c r="Q70" s="2" t="n">
        <v>0.0</v>
      </c>
      <c r="R70" s="2" t="n">
        <v>-0.0</v>
      </c>
      <c r="S70" s="2" t="n">
        <v>-0.0</v>
      </c>
      <c r="T70" s="2" t="n">
        <v>0.0</v>
      </c>
      <c r="U70" s="2" t="n">
        <v>0.0</v>
      </c>
      <c r="V70" s="2" t="n">
        <v>0.0</v>
      </c>
      <c r="W70" s="2" t="n">
        <v>0.0</v>
      </c>
      <c r="X70" s="0" t="n">
        <v>0.0</v>
      </c>
      <c r="Y70" s="2" t="s">
        <v>6</v>
      </c>
      <c r="Z70" s="0" t="n">
        <v>-0.0</v>
      </c>
      <c r="AA70" s="2" t="n">
        <v>0</v>
      </c>
      <c r="AB70" s="2" t="n">
        <v>0</v>
      </c>
      <c r="AC70" s="2" t="n">
        <v>0.0</v>
      </c>
      <c r="AD70" s="2" t="n">
        <v>0.0</v>
      </c>
      <c r="AE70" s="2" t="n">
        <v>0.0</v>
      </c>
      <c r="AF70" s="2" t="n">
        <v>-3.35</v>
      </c>
      <c r="AG70" s="0" t="n">
        <v>0.56</v>
      </c>
      <c r="AH70" s="0" t="n">
        <v>-0.41</v>
      </c>
      <c r="AI70" s="0" t="n">
        <v>-3.76</v>
      </c>
      <c r="AJ70" s="0" t="s">
        <v>6</v>
      </c>
      <c r="AK70" s="0" t="s">
        <v>6</v>
      </c>
      <c r="AL70" s="0" t="s">
        <v>265</v>
      </c>
      <c r="AM70" s="0" t="s">
        <v>266</v>
      </c>
      <c r="AN70" s="0" t="s">
        <v>69</v>
      </c>
    </row>
    <row r="71">
      <c r="A71" s="2" t="s">
        <v>234</v>
      </c>
      <c r="B71" s="0" t="s">
        <v>234</v>
      </c>
      <c r="C71" s="0" t="s">
        <v>63</v>
      </c>
      <c r="D71" s="0" t="s">
        <v>10</v>
      </c>
      <c r="E71" s="0" t="s">
        <v>14</v>
      </c>
      <c r="F71" s="0" t="s">
        <v>65</v>
      </c>
      <c r="G71" s="0" t="s">
        <v>267</v>
      </c>
      <c r="H71" s="2" t="n">
        <v>13.26</v>
      </c>
      <c r="I71" s="2" t="n">
        <v>13.26</v>
      </c>
      <c r="J71" s="2" t="n">
        <v>20.45</v>
      </c>
      <c r="K71" s="2" t="n">
        <v>0.0</v>
      </c>
      <c r="L71" s="2" t="n">
        <v>-8.18</v>
      </c>
      <c r="M71" s="2" t="n">
        <v>12.27</v>
      </c>
      <c r="N71" s="2" t="n">
        <v>0.0</v>
      </c>
      <c r="O71" s="2" t="n">
        <v>0.99</v>
      </c>
      <c r="P71" s="2" t="n">
        <v>0.16</v>
      </c>
      <c r="Q71" s="2" t="n">
        <v>0.0</v>
      </c>
      <c r="R71" s="2" t="n">
        <v>-0.0</v>
      </c>
      <c r="S71" s="2" t="n">
        <v>-0.0</v>
      </c>
      <c r="T71" s="2" t="n">
        <v>0.0</v>
      </c>
      <c r="U71" s="2" t="n">
        <v>0.0</v>
      </c>
      <c r="V71" s="2" t="n">
        <v>0.0</v>
      </c>
      <c r="W71" s="2" t="n">
        <v>0.0</v>
      </c>
      <c r="X71" s="0" t="n">
        <v>0.0</v>
      </c>
      <c r="Y71" s="2" t="s">
        <v>268</v>
      </c>
      <c r="Z71" s="0" t="n">
        <v>-0.0</v>
      </c>
      <c r="AA71" s="2" t="n">
        <v>0</v>
      </c>
      <c r="AB71" s="2" t="n">
        <v>0</v>
      </c>
      <c r="AC71" s="2" t="n">
        <v>0.0</v>
      </c>
      <c r="AD71" s="2" t="n">
        <v>0.0</v>
      </c>
      <c r="AE71" s="2" t="n">
        <v>0.0</v>
      </c>
      <c r="AF71" s="2" t="n">
        <v>-2.95</v>
      </c>
      <c r="AG71" s="0" t="n">
        <v>0.49</v>
      </c>
      <c r="AH71" s="0" t="n">
        <v>-0.39</v>
      </c>
      <c r="AI71" s="0" t="n">
        <v>-3.34</v>
      </c>
      <c r="AJ71" s="0" t="s">
        <v>6</v>
      </c>
      <c r="AK71" s="0" t="s">
        <v>6</v>
      </c>
      <c r="AL71" s="0" t="s">
        <v>269</v>
      </c>
      <c r="AM71" s="0" t="s">
        <v>270</v>
      </c>
      <c r="AN71" s="0" t="s">
        <v>69</v>
      </c>
    </row>
    <row r="72">
      <c r="A72" s="2" t="s">
        <v>234</v>
      </c>
      <c r="B72" s="0" t="s">
        <v>234</v>
      </c>
      <c r="C72" s="0" t="s">
        <v>63</v>
      </c>
      <c r="D72" s="0" t="s">
        <v>10</v>
      </c>
      <c r="E72" s="0" t="s">
        <v>64</v>
      </c>
      <c r="F72" s="0" t="s">
        <v>65</v>
      </c>
      <c r="G72" s="0" t="s">
        <v>271</v>
      </c>
      <c r="H72" s="2" t="n">
        <v>13.99</v>
      </c>
      <c r="I72" s="2" t="n">
        <v>13.99</v>
      </c>
      <c r="J72" s="2" t="n">
        <v>17.75</v>
      </c>
      <c r="K72" s="2" t="n">
        <v>0.0</v>
      </c>
      <c r="L72" s="2" t="n">
        <v>-4.75</v>
      </c>
      <c r="M72" s="2" t="n">
        <v>13.0</v>
      </c>
      <c r="N72" s="2" t="n">
        <v>0.0</v>
      </c>
      <c r="O72" s="2" t="n">
        <v>0.99</v>
      </c>
      <c r="P72" s="2" t="n">
        <v>0.16</v>
      </c>
      <c r="Q72" s="2" t="n">
        <v>0.0</v>
      </c>
      <c r="R72" s="2" t="n">
        <v>-0.0</v>
      </c>
      <c r="S72" s="2" t="n">
        <v>-0.0</v>
      </c>
      <c r="T72" s="2" t="n">
        <v>0.0</v>
      </c>
      <c r="U72" s="2" t="n">
        <v>0.0</v>
      </c>
      <c r="V72" s="2" t="n">
        <v>0.0</v>
      </c>
      <c r="W72" s="2" t="n">
        <v>0.0</v>
      </c>
      <c r="X72" s="0" t="n">
        <v>0.0</v>
      </c>
      <c r="Y72" s="2" t="s">
        <v>272</v>
      </c>
      <c r="Z72" s="0" t="n">
        <v>-0.0</v>
      </c>
      <c r="AA72" s="2" t="n">
        <v>0</v>
      </c>
      <c r="AB72" s="2" t="n">
        <v>0</v>
      </c>
      <c r="AC72" s="2" t="n">
        <v>0.0</v>
      </c>
      <c r="AD72" s="2" t="n">
        <v>0.0</v>
      </c>
      <c r="AE72" s="2" t="n">
        <v>0.0</v>
      </c>
      <c r="AF72" s="2" t="n">
        <v>-3.12</v>
      </c>
      <c r="AG72" s="0" t="n">
        <v>0.52</v>
      </c>
      <c r="AH72" s="0" t="n">
        <v>-0.4</v>
      </c>
      <c r="AI72" s="0" t="n">
        <v>-3.52</v>
      </c>
      <c r="AJ72" s="0" t="s">
        <v>6</v>
      </c>
      <c r="AK72" s="0" t="s">
        <v>6</v>
      </c>
      <c r="AL72" s="0" t="s">
        <v>273</v>
      </c>
      <c r="AM72" s="0" t="s">
        <v>274</v>
      </c>
      <c r="AN72" s="0" t="s">
        <v>69</v>
      </c>
    </row>
    <row r="73">
      <c r="A73" s="2" t="s">
        <v>275</v>
      </c>
      <c r="B73" s="0" t="s">
        <v>275</v>
      </c>
      <c r="C73" s="0" t="s">
        <v>63</v>
      </c>
      <c r="D73" s="0" t="s">
        <v>10</v>
      </c>
      <c r="E73" s="0" t="s">
        <v>64</v>
      </c>
      <c r="F73" s="0" t="s">
        <v>65</v>
      </c>
      <c r="G73" s="0" t="s">
        <v>276</v>
      </c>
      <c r="H73" s="2" t="n">
        <v>30.09</v>
      </c>
      <c r="I73" s="2" t="n">
        <v>30.09</v>
      </c>
      <c r="J73" s="2" t="n">
        <v>29.1</v>
      </c>
      <c r="K73" s="2" t="n">
        <v>0.0</v>
      </c>
      <c r="L73" s="2" t="n">
        <v>-0.0</v>
      </c>
      <c r="M73" s="2" t="n">
        <v>29.1</v>
      </c>
      <c r="N73" s="2" t="n">
        <v>0.0</v>
      </c>
      <c r="O73" s="2" t="n">
        <v>0.99</v>
      </c>
      <c r="P73" s="2" t="n">
        <v>0.16</v>
      </c>
      <c r="Q73" s="2" t="n">
        <v>0.0</v>
      </c>
      <c r="R73" s="2" t="n">
        <v>-0.0</v>
      </c>
      <c r="S73" s="2" t="n">
        <v>-0.0</v>
      </c>
      <c r="T73" s="2" t="n">
        <v>0.0</v>
      </c>
      <c r="U73" s="2" t="n">
        <v>0.0</v>
      </c>
      <c r="V73" s="2" t="n">
        <v>0.0</v>
      </c>
      <c r="W73" s="2" t="n">
        <v>0.0</v>
      </c>
      <c r="X73" s="0" t="n">
        <v>0.0</v>
      </c>
      <c r="Y73" s="2" t="s">
        <v>6</v>
      </c>
      <c r="Z73" s="0" t="n">
        <v>-0.0</v>
      </c>
      <c r="AA73" s="2" t="n">
        <v>0</v>
      </c>
      <c r="AB73" s="2" t="n">
        <v>0</v>
      </c>
      <c r="AC73" s="2" t="n">
        <v>0.0</v>
      </c>
      <c r="AD73" s="2" t="n">
        <v>0.0</v>
      </c>
      <c r="AE73" s="2" t="n">
        <v>0.0</v>
      </c>
      <c r="AF73" s="2" t="n">
        <v>-6.99</v>
      </c>
      <c r="AG73" s="0" t="n">
        <v>1.16</v>
      </c>
      <c r="AH73" s="0" t="n">
        <v>-0.62</v>
      </c>
      <c r="AI73" s="0" t="n">
        <v>-7.61</v>
      </c>
      <c r="AJ73" s="0" t="s">
        <v>6</v>
      </c>
      <c r="AK73" s="0" t="s">
        <v>6</v>
      </c>
      <c r="AL73" s="0" t="s">
        <v>277</v>
      </c>
      <c r="AM73" s="0" t="s">
        <v>278</v>
      </c>
      <c r="AN73" s="0" t="s">
        <v>69</v>
      </c>
    </row>
    <row r="74">
      <c r="A74" s="2" t="s">
        <v>275</v>
      </c>
      <c r="B74" s="0" t="s">
        <v>275</v>
      </c>
      <c r="C74" s="0" t="s">
        <v>63</v>
      </c>
      <c r="D74" s="0" t="s">
        <v>11</v>
      </c>
      <c r="E74" s="0" t="s">
        <v>64</v>
      </c>
      <c r="F74" s="0" t="s">
        <v>65</v>
      </c>
      <c r="G74" s="0" t="s">
        <v>279</v>
      </c>
      <c r="H74" s="2" t="n">
        <v>16.43</v>
      </c>
      <c r="I74" s="2" t="n">
        <v>16.43</v>
      </c>
      <c r="J74" s="2" t="n">
        <v>15.44</v>
      </c>
      <c r="K74" s="2" t="n">
        <v>0.0</v>
      </c>
      <c r="L74" s="2" t="n">
        <v>-0.0</v>
      </c>
      <c r="M74" s="2" t="n">
        <v>15.44</v>
      </c>
      <c r="N74" s="2" t="n">
        <v>0.0</v>
      </c>
      <c r="O74" s="2" t="n">
        <v>0.99</v>
      </c>
      <c r="P74" s="2" t="n">
        <v>0.16</v>
      </c>
      <c r="Q74" s="2" t="n">
        <v>0.0</v>
      </c>
      <c r="R74" s="2" t="n">
        <v>-0.0</v>
      </c>
      <c r="S74" s="2" t="n">
        <v>-13.56</v>
      </c>
      <c r="T74" s="2" t="n">
        <v>2.26</v>
      </c>
      <c r="U74" s="2" t="n">
        <v>0.0</v>
      </c>
      <c r="V74" s="2" t="n">
        <v>0.0</v>
      </c>
      <c r="W74" s="2" t="n">
        <v>6.99</v>
      </c>
      <c r="X74" s="0" t="n">
        <v>6.57</v>
      </c>
      <c r="Y74" s="2" t="s">
        <v>280</v>
      </c>
      <c r="Z74" s="0" t="n">
        <v>-6.99</v>
      </c>
      <c r="AA74" s="2" t="n">
        <v>0</v>
      </c>
      <c r="AB74" s="2" t="n">
        <v>0</v>
      </c>
      <c r="AC74" s="2" t="n">
        <v>0.0</v>
      </c>
      <c r="AD74" s="2" t="n">
        <v>0.0</v>
      </c>
      <c r="AE74" s="2" t="n">
        <v>13.56</v>
      </c>
      <c r="AF74" s="2" t="n">
        <v>-3.71</v>
      </c>
      <c r="AG74" s="0" t="n">
        <v>0.62</v>
      </c>
      <c r="AH74" s="0" t="n">
        <v>-0.43</v>
      </c>
      <c r="AI74" s="0" t="n">
        <v>-17.7</v>
      </c>
      <c r="AJ74" s="0" t="s">
        <v>6</v>
      </c>
      <c r="AK74" s="0" t="s">
        <v>281</v>
      </c>
      <c r="AL74" s="0" t="s">
        <v>282</v>
      </c>
      <c r="AM74" s="0" t="s">
        <v>283</v>
      </c>
      <c r="AN74" s="0" t="s">
        <v>112</v>
      </c>
    </row>
    <row r="75">
      <c r="A75" s="2" t="s">
        <v>275</v>
      </c>
      <c r="B75" s="0" t="s">
        <v>275</v>
      </c>
      <c r="C75" s="0" t="s">
        <v>63</v>
      </c>
      <c r="D75" s="0" t="s">
        <v>10</v>
      </c>
      <c r="E75" s="0" t="s">
        <v>64</v>
      </c>
      <c r="F75" s="0" t="s">
        <v>65</v>
      </c>
      <c r="G75" s="0" t="s">
        <v>284</v>
      </c>
      <c r="H75" s="2" t="n">
        <v>13.44</v>
      </c>
      <c r="I75" s="2" t="n">
        <v>13.44</v>
      </c>
      <c r="J75" s="2" t="n">
        <v>12.45</v>
      </c>
      <c r="K75" s="2" t="n">
        <v>0.0</v>
      </c>
      <c r="L75" s="2" t="n">
        <v>-0.0</v>
      </c>
      <c r="M75" s="2" t="n">
        <v>12.45</v>
      </c>
      <c r="N75" s="2" t="n">
        <v>0.0</v>
      </c>
      <c r="O75" s="2" t="n">
        <v>0.99</v>
      </c>
      <c r="P75" s="2" t="n">
        <v>0.16</v>
      </c>
      <c r="Q75" s="2" t="n">
        <v>0.0</v>
      </c>
      <c r="R75" s="2" t="n">
        <v>-0.0</v>
      </c>
      <c r="S75" s="2" t="n">
        <v>-0.0</v>
      </c>
      <c r="T75" s="2" t="n">
        <v>0.0</v>
      </c>
      <c r="U75" s="2" t="n">
        <v>0.0</v>
      </c>
      <c r="V75" s="2" t="n">
        <v>0.0</v>
      </c>
      <c r="W75" s="2" t="n">
        <v>0.0</v>
      </c>
      <c r="X75" s="0" t="n">
        <v>0.0</v>
      </c>
      <c r="Y75" s="2" t="s">
        <v>6</v>
      </c>
      <c r="Z75" s="0" t="n">
        <v>-0.0</v>
      </c>
      <c r="AA75" s="2" t="n">
        <v>0</v>
      </c>
      <c r="AB75" s="2" t="n">
        <v>0</v>
      </c>
      <c r="AC75" s="2" t="n">
        <v>0.0</v>
      </c>
      <c r="AD75" s="2" t="n">
        <v>0.0</v>
      </c>
      <c r="AE75" s="2" t="n">
        <v>0.0</v>
      </c>
      <c r="AF75" s="2" t="n">
        <v>-2.99</v>
      </c>
      <c r="AG75" s="0" t="n">
        <v>0.5</v>
      </c>
      <c r="AH75" s="0" t="n">
        <v>-0.39</v>
      </c>
      <c r="AI75" s="0" t="n">
        <v>-3.38</v>
      </c>
      <c r="AJ75" s="0" t="s">
        <v>6</v>
      </c>
      <c r="AK75" s="0" t="s">
        <v>6</v>
      </c>
      <c r="AL75" s="0" t="s">
        <v>285</v>
      </c>
      <c r="AM75" s="0" t="s">
        <v>286</v>
      </c>
      <c r="AN75" s="0" t="s">
        <v>69</v>
      </c>
    </row>
    <row r="76">
      <c r="A76" s="2" t="s">
        <v>287</v>
      </c>
      <c r="B76" s="0" t="s">
        <v>287</v>
      </c>
      <c r="C76" s="0" t="s">
        <v>63</v>
      </c>
      <c r="D76" s="0" t="s">
        <v>11</v>
      </c>
      <c r="E76" s="0" t="s">
        <v>14</v>
      </c>
      <c r="F76" s="0" t="s">
        <v>65</v>
      </c>
      <c r="G76" s="0" t="s">
        <v>288</v>
      </c>
      <c r="H76" s="2" t="n">
        <v>42.44</v>
      </c>
      <c r="I76" s="2" t="n">
        <v>42.44</v>
      </c>
      <c r="J76" s="2" t="n">
        <v>41.45</v>
      </c>
      <c r="K76" s="2" t="n">
        <v>0.0</v>
      </c>
      <c r="L76" s="2" t="n">
        <v>-0.0</v>
      </c>
      <c r="M76" s="2" t="n">
        <v>41.45</v>
      </c>
      <c r="N76" s="2" t="n">
        <v>0.0</v>
      </c>
      <c r="O76" s="2" t="n">
        <v>0.99</v>
      </c>
      <c r="P76" s="2" t="n">
        <v>0.16</v>
      </c>
      <c r="Q76" s="2" t="n">
        <v>0.0</v>
      </c>
      <c r="R76" s="2" t="n">
        <v>-0.0</v>
      </c>
      <c r="S76" s="2" t="n">
        <v>-7.14</v>
      </c>
      <c r="T76" s="2" t="n">
        <v>1.19</v>
      </c>
      <c r="U76" s="2" t="n">
        <v>0.0</v>
      </c>
      <c r="V76" s="2" t="n">
        <v>0.0</v>
      </c>
      <c r="W76" s="2" t="n">
        <v>2.99</v>
      </c>
      <c r="X76" s="0" t="n">
        <v>4.15</v>
      </c>
      <c r="Y76" s="2" t="s">
        <v>280</v>
      </c>
      <c r="Z76" s="0" t="n">
        <v>-2.99</v>
      </c>
      <c r="AA76" s="2" t="n">
        <v>0</v>
      </c>
      <c r="AB76" s="2" t="n">
        <v>0</v>
      </c>
      <c r="AC76" s="2" t="n">
        <v>0.0</v>
      </c>
      <c r="AD76" s="2" t="n">
        <v>0.0</v>
      </c>
      <c r="AE76" s="2" t="n">
        <v>7.14</v>
      </c>
      <c r="AF76" s="2" t="n">
        <v>-9.95</v>
      </c>
      <c r="AG76" s="0" t="n">
        <v>1.66</v>
      </c>
      <c r="AH76" s="0" t="n">
        <v>-0.79</v>
      </c>
      <c r="AI76" s="0" t="n">
        <v>-17.88</v>
      </c>
      <c r="AJ76" s="0" t="s">
        <v>6</v>
      </c>
      <c r="AK76" s="0" t="s">
        <v>289</v>
      </c>
      <c r="AL76" s="0" t="s">
        <v>290</v>
      </c>
      <c r="AM76" s="0" t="s">
        <v>291</v>
      </c>
      <c r="AN76" s="0" t="s">
        <v>79</v>
      </c>
    </row>
    <row r="77">
      <c r="A77" s="2" t="s">
        <v>287</v>
      </c>
      <c r="B77" s="0" t="s">
        <v>287</v>
      </c>
      <c r="C77" s="0" t="s">
        <v>63</v>
      </c>
      <c r="D77" s="0" t="s">
        <v>11</v>
      </c>
      <c r="E77" s="0" t="s">
        <v>14</v>
      </c>
      <c r="F77" s="0" t="s">
        <v>65</v>
      </c>
      <c r="G77" s="0" t="s">
        <v>292</v>
      </c>
      <c r="H77" s="2" t="n">
        <v>16.24</v>
      </c>
      <c r="I77" s="2" t="n">
        <v>16.24</v>
      </c>
      <c r="J77" s="2" t="n">
        <v>15.25</v>
      </c>
      <c r="K77" s="2" t="n">
        <v>0.0</v>
      </c>
      <c r="L77" s="2" t="n">
        <v>-0.0</v>
      </c>
      <c r="M77" s="2" t="n">
        <v>15.25</v>
      </c>
      <c r="N77" s="2" t="n">
        <v>0.0</v>
      </c>
      <c r="O77" s="2" t="n">
        <v>0.99</v>
      </c>
      <c r="P77" s="2" t="n">
        <v>0.16</v>
      </c>
      <c r="Q77" s="2" t="n">
        <v>0.0</v>
      </c>
      <c r="R77" s="2" t="n">
        <v>-0.0</v>
      </c>
      <c r="S77" s="2" t="n">
        <v>-13.56</v>
      </c>
      <c r="T77" s="2" t="n">
        <v>2.26</v>
      </c>
      <c r="U77" s="2" t="n">
        <v>0.0</v>
      </c>
      <c r="V77" s="2" t="n">
        <v>0.0</v>
      </c>
      <c r="W77" s="2" t="n">
        <v>6.99</v>
      </c>
      <c r="X77" s="0" t="n">
        <v>6.57</v>
      </c>
      <c r="Y77" s="2" t="s">
        <v>280</v>
      </c>
      <c r="Z77" s="0" t="n">
        <v>-6.99</v>
      </c>
      <c r="AA77" s="2" t="n">
        <v>0</v>
      </c>
      <c r="AB77" s="2" t="n">
        <v>0</v>
      </c>
      <c r="AC77" s="2" t="n">
        <v>0.0</v>
      </c>
      <c r="AD77" s="2" t="n">
        <v>0.0</v>
      </c>
      <c r="AE77" s="2" t="n">
        <v>13.56</v>
      </c>
      <c r="AF77" s="2" t="n">
        <v>-3.66</v>
      </c>
      <c r="AG77" s="0" t="n">
        <v>0.61</v>
      </c>
      <c r="AH77" s="0" t="n">
        <v>-0.67</v>
      </c>
      <c r="AI77" s="0" t="n">
        <v>-17.89</v>
      </c>
      <c r="AJ77" s="0" t="s">
        <v>6</v>
      </c>
      <c r="AK77" s="0" t="s">
        <v>293</v>
      </c>
      <c r="AL77" s="0" t="s">
        <v>294</v>
      </c>
      <c r="AM77" s="0" t="s">
        <v>295</v>
      </c>
      <c r="AN77" s="0" t="s">
        <v>79</v>
      </c>
    </row>
    <row r="78">
      <c r="A78" s="2" t="s">
        <v>296</v>
      </c>
      <c r="B78" s="0" t="s">
        <v>296</v>
      </c>
      <c r="C78" s="0" t="s">
        <v>63</v>
      </c>
      <c r="D78" s="0" t="s">
        <v>10</v>
      </c>
      <c r="E78" s="0" t="s">
        <v>64</v>
      </c>
      <c r="F78" s="0" t="s">
        <v>65</v>
      </c>
      <c r="G78" s="0" t="s">
        <v>297</v>
      </c>
      <c r="H78" s="2" t="n">
        <v>22.59</v>
      </c>
      <c r="I78" s="2" t="n">
        <v>22.59</v>
      </c>
      <c r="J78" s="2" t="n">
        <v>21.6</v>
      </c>
      <c r="K78" s="2" t="n">
        <v>0.0</v>
      </c>
      <c r="L78" s="2" t="n">
        <v>-0.0</v>
      </c>
      <c r="M78" s="2" t="n">
        <v>21.6</v>
      </c>
      <c r="N78" s="2" t="n">
        <v>0.0</v>
      </c>
      <c r="O78" s="2" t="n">
        <v>0.99</v>
      </c>
      <c r="P78" s="2" t="n">
        <v>0.16</v>
      </c>
      <c r="Q78" s="2" t="n">
        <v>0.0</v>
      </c>
      <c r="R78" s="2" t="n">
        <v>-0.0</v>
      </c>
      <c r="S78" s="2" t="n">
        <v>-0.0</v>
      </c>
      <c r="T78" s="2" t="n">
        <v>0.0</v>
      </c>
      <c r="U78" s="2" t="n">
        <v>0.0</v>
      </c>
      <c r="V78" s="2" t="n">
        <v>0.0</v>
      </c>
      <c r="W78" s="2" t="n">
        <v>0.0</v>
      </c>
      <c r="X78" s="0" t="n">
        <v>0.0</v>
      </c>
      <c r="Y78" s="2" t="s">
        <v>6</v>
      </c>
      <c r="Z78" s="0" t="n">
        <v>-0.0</v>
      </c>
      <c r="AA78" s="2" t="n">
        <v>0</v>
      </c>
      <c r="AB78" s="2" t="n">
        <v>0</v>
      </c>
      <c r="AC78" s="2" t="n">
        <v>0.0</v>
      </c>
      <c r="AD78" s="2" t="n">
        <v>0.0</v>
      </c>
      <c r="AE78" s="2" t="n">
        <v>0.0</v>
      </c>
      <c r="AF78" s="2" t="n">
        <v>-5.19</v>
      </c>
      <c r="AG78" s="0" t="n">
        <v>0.86</v>
      </c>
      <c r="AH78" s="0" t="n">
        <v>-0.52</v>
      </c>
      <c r="AI78" s="0" t="n">
        <v>-5.71</v>
      </c>
      <c r="AJ78" s="0" t="s">
        <v>6</v>
      </c>
      <c r="AK78" s="0" t="s">
        <v>6</v>
      </c>
      <c r="AL78" s="0" t="s">
        <v>298</v>
      </c>
      <c r="AM78" s="0" t="s">
        <v>299</v>
      </c>
      <c r="AN78" s="0" t="s">
        <v>69</v>
      </c>
    </row>
    <row r="79">
      <c r="A79" s="2" t="s">
        <v>300</v>
      </c>
      <c r="B79" s="0" t="s">
        <v>300</v>
      </c>
      <c r="C79" s="0" t="s">
        <v>63</v>
      </c>
      <c r="D79" s="0" t="s">
        <v>10</v>
      </c>
      <c r="E79" s="0" t="s">
        <v>14</v>
      </c>
      <c r="F79" s="0" t="s">
        <v>65</v>
      </c>
      <c r="G79" s="0" t="s">
        <v>301</v>
      </c>
      <c r="H79" s="2" t="n">
        <v>9.94</v>
      </c>
      <c r="I79" s="2" t="n">
        <v>9.94</v>
      </c>
      <c r="J79" s="2" t="n">
        <v>13.95</v>
      </c>
      <c r="K79" s="2" t="n">
        <v>0.0</v>
      </c>
      <c r="L79" s="2" t="n">
        <v>-5.0</v>
      </c>
      <c r="M79" s="2" t="n">
        <v>8.95</v>
      </c>
      <c r="N79" s="2" t="n">
        <v>0.0</v>
      </c>
      <c r="O79" s="2" t="n">
        <v>0.99</v>
      </c>
      <c r="P79" s="2" t="n">
        <v>0.16</v>
      </c>
      <c r="Q79" s="2" t="n">
        <v>0.0</v>
      </c>
      <c r="R79" s="2" t="n">
        <v>-0.0</v>
      </c>
      <c r="S79" s="2" t="n">
        <v>-0.0</v>
      </c>
      <c r="T79" s="2" t="n">
        <v>0.0</v>
      </c>
      <c r="U79" s="2" t="n">
        <v>0.0</v>
      </c>
      <c r="V79" s="2" t="n">
        <v>0.0</v>
      </c>
      <c r="W79" s="2" t="n">
        <v>0.0</v>
      </c>
      <c r="X79" s="0" t="n">
        <v>0.0</v>
      </c>
      <c r="Y79" s="2" t="s">
        <v>302</v>
      </c>
      <c r="Z79" s="0" t="n">
        <v>-0.0</v>
      </c>
      <c r="AA79" s="2" t="n">
        <v>0</v>
      </c>
      <c r="AB79" s="2" t="n">
        <v>0</v>
      </c>
      <c r="AC79" s="2" t="n">
        <v>0.0</v>
      </c>
      <c r="AD79" s="2" t="n">
        <v>0.0</v>
      </c>
      <c r="AE79" s="2" t="n">
        <v>0.0</v>
      </c>
      <c r="AF79" s="2" t="n">
        <v>-2.15</v>
      </c>
      <c r="AG79" s="0" t="n">
        <v>0.36</v>
      </c>
      <c r="AH79" s="0" t="n">
        <v>-0.34</v>
      </c>
      <c r="AI79" s="0" t="n">
        <v>-2.49</v>
      </c>
      <c r="AJ79" s="0" t="s">
        <v>6</v>
      </c>
      <c r="AK79" s="0" t="s">
        <v>6</v>
      </c>
      <c r="AL79" s="0" t="s">
        <v>303</v>
      </c>
      <c r="AM79" s="0" t="s">
        <v>304</v>
      </c>
      <c r="AN79" s="0" t="s">
        <v>69</v>
      </c>
    </row>
    <row r="80">
      <c r="A80" s="2" t="s">
        <v>300</v>
      </c>
      <c r="B80" s="0" t="s">
        <v>300</v>
      </c>
      <c r="C80" s="0" t="s">
        <v>63</v>
      </c>
      <c r="D80" s="0" t="s">
        <v>10</v>
      </c>
      <c r="E80" s="0" t="s">
        <v>64</v>
      </c>
      <c r="F80" s="0" t="s">
        <v>65</v>
      </c>
      <c r="G80" s="0" t="s">
        <v>305</v>
      </c>
      <c r="H80" s="2" t="n">
        <v>20.49</v>
      </c>
      <c r="I80" s="2" t="n">
        <v>20.49</v>
      </c>
      <c r="J80" s="2" t="n">
        <v>19.5</v>
      </c>
      <c r="K80" s="2" t="n">
        <v>0.0</v>
      </c>
      <c r="L80" s="2" t="n">
        <v>-0.0</v>
      </c>
      <c r="M80" s="2" t="n">
        <v>19.5</v>
      </c>
      <c r="N80" s="2" t="n">
        <v>0.0</v>
      </c>
      <c r="O80" s="2" t="n">
        <v>0.99</v>
      </c>
      <c r="P80" s="2" t="n">
        <v>0.16</v>
      </c>
      <c r="Q80" s="2" t="n">
        <v>0.0</v>
      </c>
      <c r="R80" s="2" t="n">
        <v>-0.0</v>
      </c>
      <c r="S80" s="2" t="n">
        <v>-0.0</v>
      </c>
      <c r="T80" s="2" t="n">
        <v>0.0</v>
      </c>
      <c r="U80" s="2" t="n">
        <v>0.0</v>
      </c>
      <c r="V80" s="2" t="n">
        <v>0.0</v>
      </c>
      <c r="W80" s="2" t="n">
        <v>0.0</v>
      </c>
      <c r="X80" s="0" t="n">
        <v>0.0</v>
      </c>
      <c r="Y80" s="2" t="s">
        <v>6</v>
      </c>
      <c r="Z80" s="0" t="n">
        <v>-0.0</v>
      </c>
      <c r="AA80" s="2" t="n">
        <v>0</v>
      </c>
      <c r="AB80" s="2" t="n">
        <v>0</v>
      </c>
      <c r="AC80" s="2" t="n">
        <v>0.0</v>
      </c>
      <c r="AD80" s="2" t="n">
        <v>0.0</v>
      </c>
      <c r="AE80" s="2" t="n">
        <v>0.0</v>
      </c>
      <c r="AF80" s="2" t="n">
        <v>-4.68</v>
      </c>
      <c r="AG80" s="0" t="n">
        <v>0.78</v>
      </c>
      <c r="AH80" s="0" t="n">
        <v>-0.49</v>
      </c>
      <c r="AI80" s="0" t="n">
        <v>-5.17</v>
      </c>
      <c r="AJ80" s="0" t="s">
        <v>6</v>
      </c>
      <c r="AK80" s="0" t="s">
        <v>6</v>
      </c>
      <c r="AL80" s="0" t="s">
        <v>306</v>
      </c>
      <c r="AM80" s="0" t="s">
        <v>307</v>
      </c>
      <c r="AN80" s="0" t="s">
        <v>69</v>
      </c>
    </row>
    <row r="81">
      <c r="A81" s="2" t="s">
        <v>300</v>
      </c>
      <c r="B81" s="0" t="s">
        <v>300</v>
      </c>
      <c r="C81" s="0" t="s">
        <v>165</v>
      </c>
      <c r="D81" s="0" t="s">
        <v>10</v>
      </c>
      <c r="E81" s="0" t="s">
        <v>64</v>
      </c>
      <c r="F81" s="0" t="s">
        <v>65</v>
      </c>
      <c r="G81" s="0" t="s">
        <v>308</v>
      </c>
      <c r="H81" s="2" t="n">
        <v>13.0</v>
      </c>
      <c r="I81" s="2" t="n">
        <v>13.0</v>
      </c>
      <c r="J81" s="2" t="n">
        <v>13.0</v>
      </c>
      <c r="K81" s="2" t="n">
        <v>0.0</v>
      </c>
      <c r="L81" s="2" t="n">
        <v>-0.0</v>
      </c>
      <c r="M81" s="2" t="n">
        <v>13.0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n">
        <v>-0.0</v>
      </c>
      <c r="S81" s="2" t="n">
        <v>-0.0</v>
      </c>
      <c r="T81" s="2" t="n">
        <v>0.0</v>
      </c>
      <c r="U81" s="2" t="n">
        <v>0.0</v>
      </c>
      <c r="V81" s="2" t="n">
        <v>0.0</v>
      </c>
      <c r="W81" s="2" t="n">
        <v>0.0</v>
      </c>
      <c r="X81" s="0" t="n">
        <v>0.0</v>
      </c>
      <c r="Y81" s="2" t="s">
        <v>6</v>
      </c>
      <c r="Z81" s="0" t="n">
        <v>-0.0</v>
      </c>
      <c r="AA81" s="2" t="n">
        <v>0</v>
      </c>
      <c r="AB81" s="2" t="n">
        <v>0</v>
      </c>
      <c r="AC81" s="2" t="n">
        <v>0.0</v>
      </c>
      <c r="AD81" s="2" t="n">
        <v>0.0</v>
      </c>
      <c r="AE81" s="2" t="n">
        <v>0.0</v>
      </c>
      <c r="AF81" s="2" t="n">
        <v>-3.12</v>
      </c>
      <c r="AG81" s="0" t="n">
        <v>0.52</v>
      </c>
      <c r="AH81" s="0" t="n">
        <v>-0.38</v>
      </c>
      <c r="AI81" s="0" t="n">
        <v>-3.5</v>
      </c>
      <c r="AJ81" s="0" t="s">
        <v>6</v>
      </c>
      <c r="AK81" s="0" t="s">
        <v>6</v>
      </c>
      <c r="AL81" s="0" t="s">
        <v>309</v>
      </c>
      <c r="AM81" s="0" t="s">
        <v>310</v>
      </c>
      <c r="AN81" s="0" t="s">
        <v>69</v>
      </c>
    </row>
    <row r="82">
      <c r="A82" s="2" t="s">
        <v>300</v>
      </c>
      <c r="B82" s="0" t="s">
        <v>300</v>
      </c>
      <c r="C82" s="0" t="s">
        <v>63</v>
      </c>
      <c r="D82" s="0" t="s">
        <v>10</v>
      </c>
      <c r="E82" s="0" t="s">
        <v>14</v>
      </c>
      <c r="F82" s="0" t="s">
        <v>65</v>
      </c>
      <c r="G82" s="0" t="s">
        <v>311</v>
      </c>
      <c r="H82" s="2" t="n">
        <v>13.99</v>
      </c>
      <c r="I82" s="2" t="n">
        <v>13.99</v>
      </c>
      <c r="J82" s="2" t="n">
        <v>19.5</v>
      </c>
      <c r="K82" s="2" t="n">
        <v>0.0</v>
      </c>
      <c r="L82" s="2" t="n">
        <v>-6.5</v>
      </c>
      <c r="M82" s="2" t="n">
        <v>13.0</v>
      </c>
      <c r="N82" s="2" t="n">
        <v>0.0</v>
      </c>
      <c r="O82" s="2" t="n">
        <v>0.99</v>
      </c>
      <c r="P82" s="2" t="n">
        <v>0.16</v>
      </c>
      <c r="Q82" s="2" t="n">
        <v>0.0</v>
      </c>
      <c r="R82" s="2" t="n">
        <v>-0.0</v>
      </c>
      <c r="S82" s="2" t="n">
        <v>-0.0</v>
      </c>
      <c r="T82" s="2" t="n">
        <v>0.0</v>
      </c>
      <c r="U82" s="2" t="n">
        <v>0.0</v>
      </c>
      <c r="V82" s="2" t="n">
        <v>0.0</v>
      </c>
      <c r="W82" s="2" t="n">
        <v>0.0</v>
      </c>
      <c r="X82" s="0" t="n">
        <v>0.0</v>
      </c>
      <c r="Y82" s="2" t="s">
        <v>96</v>
      </c>
      <c r="Z82" s="0" t="n">
        <v>-0.0</v>
      </c>
      <c r="AA82" s="2" t="n">
        <v>0</v>
      </c>
      <c r="AB82" s="2" t="n">
        <v>0</v>
      </c>
      <c r="AC82" s="2" t="n">
        <v>0.0</v>
      </c>
      <c r="AD82" s="2" t="n">
        <v>0.0</v>
      </c>
      <c r="AE82" s="2" t="n">
        <v>0.0</v>
      </c>
      <c r="AF82" s="2" t="n">
        <v>-3.12</v>
      </c>
      <c r="AG82" s="0" t="n">
        <v>0.52</v>
      </c>
      <c r="AH82" s="0" t="n">
        <v>-0.4</v>
      </c>
      <c r="AI82" s="0" t="n">
        <v>-3.52</v>
      </c>
      <c r="AJ82" s="0" t="s">
        <v>6</v>
      </c>
      <c r="AK82" s="0" t="s">
        <v>6</v>
      </c>
      <c r="AL82" s="0" t="s">
        <v>312</v>
      </c>
      <c r="AM82" s="0" t="s">
        <v>313</v>
      </c>
      <c r="AN82" s="0" t="s">
        <v>69</v>
      </c>
    </row>
    <row r="83">
      <c r="A83" s="2" t="s">
        <v>300</v>
      </c>
      <c r="B83" s="0" t="s">
        <v>300</v>
      </c>
      <c r="C83" s="0" t="s">
        <v>63</v>
      </c>
      <c r="D83" s="0" t="s">
        <v>10</v>
      </c>
      <c r="E83" s="0" t="s">
        <v>14</v>
      </c>
      <c r="F83" s="0" t="s">
        <v>65</v>
      </c>
      <c r="G83" s="0" t="s">
        <v>314</v>
      </c>
      <c r="H83" s="2" t="n">
        <v>17.19</v>
      </c>
      <c r="I83" s="2" t="n">
        <v>17.19</v>
      </c>
      <c r="J83" s="2" t="n">
        <v>16.2</v>
      </c>
      <c r="K83" s="2" t="n">
        <v>0.0</v>
      </c>
      <c r="L83" s="2" t="n">
        <v>-0.0</v>
      </c>
      <c r="M83" s="2" t="n">
        <v>16.2</v>
      </c>
      <c r="N83" s="2" t="n">
        <v>0.0</v>
      </c>
      <c r="O83" s="2" t="n">
        <v>0.99</v>
      </c>
      <c r="P83" s="2" t="n">
        <v>0.16</v>
      </c>
      <c r="Q83" s="2" t="n">
        <v>0.0</v>
      </c>
      <c r="R83" s="2" t="n">
        <v>-0.0</v>
      </c>
      <c r="S83" s="2" t="n">
        <v>-0.0</v>
      </c>
      <c r="T83" s="2" t="n">
        <v>0.0</v>
      </c>
      <c r="U83" s="2" t="n">
        <v>0.0</v>
      </c>
      <c r="V83" s="2" t="n">
        <v>0.0</v>
      </c>
      <c r="W83" s="2" t="n">
        <v>0.0</v>
      </c>
      <c r="X83" s="0" t="n">
        <v>0.0</v>
      </c>
      <c r="Y83" s="2" t="s">
        <v>6</v>
      </c>
      <c r="Z83" s="0" t="n">
        <v>-0.0</v>
      </c>
      <c r="AA83" s="2" t="n">
        <v>0</v>
      </c>
      <c r="AB83" s="2" t="n">
        <v>0</v>
      </c>
      <c r="AC83" s="2" t="n">
        <v>0.0</v>
      </c>
      <c r="AD83" s="2" t="n">
        <v>0.0</v>
      </c>
      <c r="AE83" s="2" t="n">
        <v>0.0</v>
      </c>
      <c r="AF83" s="2" t="n">
        <v>-3.89</v>
      </c>
      <c r="AG83" s="0" t="n">
        <v>0.65</v>
      </c>
      <c r="AH83" s="0" t="n">
        <v>-0.44</v>
      </c>
      <c r="AI83" s="0" t="n">
        <v>-4.33</v>
      </c>
      <c r="AJ83" s="0" t="s">
        <v>6</v>
      </c>
      <c r="AK83" s="0" t="s">
        <v>6</v>
      </c>
      <c r="AL83" s="0" t="s">
        <v>315</v>
      </c>
      <c r="AM83" s="0" t="s">
        <v>316</v>
      </c>
      <c r="AN83" s="0" t="s">
        <v>69</v>
      </c>
    </row>
    <row r="84">
      <c r="A84" s="2" t="s">
        <v>300</v>
      </c>
      <c r="B84" s="0" t="s">
        <v>300</v>
      </c>
      <c r="C84" s="0" t="s">
        <v>63</v>
      </c>
      <c r="D84" s="0" t="s">
        <v>11</v>
      </c>
      <c r="E84" s="0" t="s">
        <v>14</v>
      </c>
      <c r="F84" s="0" t="s">
        <v>65</v>
      </c>
      <c r="G84" s="0" t="s">
        <v>317</v>
      </c>
      <c r="H84" s="2" t="n">
        <v>16.98</v>
      </c>
      <c r="I84" s="2" t="n">
        <v>16.98</v>
      </c>
      <c r="J84" s="2" t="n">
        <v>13.0</v>
      </c>
      <c r="K84" s="2" t="n">
        <v>0.0</v>
      </c>
      <c r="L84" s="2" t="n">
        <v>-0.0</v>
      </c>
      <c r="M84" s="2" t="n">
        <v>13.0</v>
      </c>
      <c r="N84" s="2" t="n">
        <v>0.0</v>
      </c>
      <c r="O84" s="2" t="n">
        <v>0.99</v>
      </c>
      <c r="P84" s="2" t="n">
        <v>0.16</v>
      </c>
      <c r="Q84" s="2" t="n">
        <v>0.0</v>
      </c>
      <c r="R84" s="2" t="n">
        <v>-0.0</v>
      </c>
      <c r="S84" s="2" t="n">
        <v>-7.98</v>
      </c>
      <c r="T84" s="2" t="n">
        <v>1.33</v>
      </c>
      <c r="U84" s="2" t="n">
        <v>0.0</v>
      </c>
      <c r="V84" s="2" t="n">
        <v>0.0</v>
      </c>
      <c r="W84" s="2" t="n">
        <v>2.99</v>
      </c>
      <c r="X84" s="0" t="n">
        <v>4.99</v>
      </c>
      <c r="Y84" s="2" t="s">
        <v>6</v>
      </c>
      <c r="Z84" s="0" t="n">
        <v>-0.0</v>
      </c>
      <c r="AA84" s="2" t="n">
        <v>0</v>
      </c>
      <c r="AB84" s="2" t="n">
        <v>0</v>
      </c>
      <c r="AC84" s="2" t="n">
        <v>2.99</v>
      </c>
      <c r="AD84" s="2" t="n">
        <v>0.5</v>
      </c>
      <c r="AE84" s="2" t="n">
        <v>4.99</v>
      </c>
      <c r="AF84" s="2" t="n">
        <v>-3.12</v>
      </c>
      <c r="AG84" s="0" t="n">
        <v>0.52</v>
      </c>
      <c r="AH84" s="0" t="n">
        <v>-0.44</v>
      </c>
      <c r="AI84" s="0" t="n">
        <v>-11.54</v>
      </c>
      <c r="AJ84" s="0" t="s">
        <v>6</v>
      </c>
      <c r="AK84" s="0" t="s">
        <v>318</v>
      </c>
      <c r="AL84" s="0" t="s">
        <v>319</v>
      </c>
      <c r="AM84" s="0" t="s">
        <v>320</v>
      </c>
      <c r="AN84" s="0" t="s">
        <v>79</v>
      </c>
    </row>
    <row r="85">
      <c r="A85" s="2" t="s">
        <v>300</v>
      </c>
      <c r="B85" s="0" t="s">
        <v>300</v>
      </c>
      <c r="C85" s="0" t="s">
        <v>165</v>
      </c>
      <c r="D85" s="0" t="s">
        <v>11</v>
      </c>
      <c r="E85" s="0" t="s">
        <v>64</v>
      </c>
      <c r="F85" s="0" t="s">
        <v>65</v>
      </c>
      <c r="G85" s="0" t="s">
        <v>321</v>
      </c>
      <c r="H85" s="2" t="n">
        <v>22.64</v>
      </c>
      <c r="I85" s="2" t="n">
        <v>22.64</v>
      </c>
      <c r="J85" s="2" t="n">
        <v>19.65</v>
      </c>
      <c r="K85" s="2" t="n">
        <v>0.0</v>
      </c>
      <c r="L85" s="2" t="n">
        <v>-0.0</v>
      </c>
      <c r="M85" s="2" t="n">
        <v>19.65</v>
      </c>
      <c r="N85" s="2" t="n">
        <v>0.0</v>
      </c>
      <c r="O85" s="2" t="n">
        <v>0.0</v>
      </c>
      <c r="P85" s="2" t="n">
        <v>0.0</v>
      </c>
      <c r="Q85" s="2" t="n">
        <v>0.0</v>
      </c>
      <c r="R85" s="2" t="n">
        <v>-0.0</v>
      </c>
      <c r="S85" s="2" t="n">
        <v>-0.0</v>
      </c>
      <c r="T85" s="2" t="n">
        <v>0.0</v>
      </c>
      <c r="U85" s="2" t="n">
        <v>-2.99</v>
      </c>
      <c r="V85" s="2" t="n">
        <v>0.0</v>
      </c>
      <c r="W85" s="2" t="n">
        <v>2.99</v>
      </c>
      <c r="X85" s="0" t="n">
        <v>0.0</v>
      </c>
      <c r="Y85" s="2" t="s">
        <v>6</v>
      </c>
      <c r="Z85" s="0" t="n">
        <v>-0.0</v>
      </c>
      <c r="AA85" s="2" t="n">
        <v>0</v>
      </c>
      <c r="AB85" s="2" t="n">
        <v>0</v>
      </c>
      <c r="AC85" s="2" t="n">
        <v>2.99</v>
      </c>
      <c r="AD85" s="2" t="n">
        <v>0.0</v>
      </c>
      <c r="AE85" s="2" t="n">
        <v>0</v>
      </c>
      <c r="AF85" s="2" t="n">
        <v>-4.72</v>
      </c>
      <c r="AG85" s="0" t="n">
        <v>0.79</v>
      </c>
      <c r="AH85" s="0" t="n">
        <v>-0.52</v>
      </c>
      <c r="AI85" s="0" t="n">
        <v>-5.24</v>
      </c>
      <c r="AJ85" s="0" t="s">
        <v>6</v>
      </c>
      <c r="AK85" s="0" t="s">
        <v>322</v>
      </c>
      <c r="AL85" s="0" t="s">
        <v>323</v>
      </c>
      <c r="AM85" s="0" t="s">
        <v>324</v>
      </c>
      <c r="AN85" s="0" t="s">
        <v>69</v>
      </c>
    </row>
    <row r="86">
      <c r="A86" s="2" t="s">
        <v>325</v>
      </c>
      <c r="B86" s="0" t="s">
        <v>325</v>
      </c>
      <c r="C86" s="0" t="s">
        <v>63</v>
      </c>
      <c r="D86" s="0" t="s">
        <v>10</v>
      </c>
      <c r="E86" s="0" t="s">
        <v>64</v>
      </c>
      <c r="F86" s="0" t="s">
        <v>65</v>
      </c>
      <c r="G86" s="0" t="s">
        <v>326</v>
      </c>
      <c r="H86" s="2" t="n">
        <v>28.79</v>
      </c>
      <c r="I86" s="2" t="n">
        <v>28.79</v>
      </c>
      <c r="J86" s="2" t="n">
        <v>27.8</v>
      </c>
      <c r="K86" s="2" t="n">
        <v>0.0</v>
      </c>
      <c r="L86" s="2" t="n">
        <v>-0.0</v>
      </c>
      <c r="M86" s="2" t="n">
        <v>27.8</v>
      </c>
      <c r="N86" s="2" t="n">
        <v>0.0</v>
      </c>
      <c r="O86" s="2" t="n">
        <v>0.99</v>
      </c>
      <c r="P86" s="2" t="n">
        <v>0.16</v>
      </c>
      <c r="Q86" s="2" t="n">
        <v>0.0</v>
      </c>
      <c r="R86" s="2" t="n">
        <v>-0.0</v>
      </c>
      <c r="S86" s="2" t="n">
        <v>-0.0</v>
      </c>
      <c r="T86" s="2" t="n">
        <v>0.0</v>
      </c>
      <c r="U86" s="2" t="n">
        <v>0.0</v>
      </c>
      <c r="V86" s="2" t="n">
        <v>0.0</v>
      </c>
      <c r="W86" s="2" t="n">
        <v>0.0</v>
      </c>
      <c r="X86" s="0" t="n">
        <v>0.0</v>
      </c>
      <c r="Y86" s="2" t="s">
        <v>6</v>
      </c>
      <c r="Z86" s="0" t="n">
        <v>-0.0</v>
      </c>
      <c r="AA86" s="2" t="n">
        <v>0</v>
      </c>
      <c r="AB86" s="2" t="n">
        <v>0</v>
      </c>
      <c r="AC86" s="2" t="n">
        <v>0.0</v>
      </c>
      <c r="AD86" s="2" t="n">
        <v>0.0</v>
      </c>
      <c r="AE86" s="2" t="n">
        <v>0.0</v>
      </c>
      <c r="AF86" s="2" t="n">
        <v>-6.68</v>
      </c>
      <c r="AG86" s="0" t="n">
        <v>1.11</v>
      </c>
      <c r="AH86" s="0" t="n">
        <v>-0.6</v>
      </c>
      <c r="AI86" s="0" t="n">
        <v>-7.28</v>
      </c>
      <c r="AJ86" s="0" t="s">
        <v>6</v>
      </c>
      <c r="AK86" s="0" t="s">
        <v>6</v>
      </c>
      <c r="AL86" s="0" t="s">
        <v>327</v>
      </c>
      <c r="AM86" s="0" t="s">
        <v>328</v>
      </c>
      <c r="AN86" s="0" t="s">
        <v>69</v>
      </c>
    </row>
    <row r="87">
      <c r="A87" s="2" t="s">
        <v>329</v>
      </c>
      <c r="B87" s="0" t="s">
        <v>329</v>
      </c>
      <c r="C87" s="0" t="s">
        <v>165</v>
      </c>
      <c r="D87" s="0" t="s">
        <v>11</v>
      </c>
      <c r="E87" s="0" t="s">
        <v>64</v>
      </c>
      <c r="F87" s="0" t="s">
        <v>65</v>
      </c>
      <c r="G87" s="0" t="s">
        <v>330</v>
      </c>
      <c r="H87" s="2" t="n">
        <v>41.44</v>
      </c>
      <c r="I87" s="2" t="n">
        <v>41.44</v>
      </c>
      <c r="J87" s="2" t="n">
        <v>43.95</v>
      </c>
      <c r="K87" s="2" t="n">
        <v>0.0</v>
      </c>
      <c r="L87" s="2" t="n">
        <v>-6.5</v>
      </c>
      <c r="M87" s="2" t="n">
        <v>37.45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-0.0</v>
      </c>
      <c r="S87" s="2" t="n">
        <v>-0.0</v>
      </c>
      <c r="T87" s="2" t="n">
        <v>0.0</v>
      </c>
      <c r="U87" s="2" t="n">
        <v>-3.99</v>
      </c>
      <c r="V87" s="2" t="n">
        <v>0.0</v>
      </c>
      <c r="W87" s="2" t="n">
        <v>3.99</v>
      </c>
      <c r="X87" s="0" t="n">
        <v>0.0</v>
      </c>
      <c r="Y87" s="2" t="s">
        <v>96</v>
      </c>
      <c r="Z87" s="0" t="n">
        <v>-0.0</v>
      </c>
      <c r="AA87" s="2" t="n">
        <v>0</v>
      </c>
      <c r="AB87" s="2" t="n">
        <v>0</v>
      </c>
      <c r="AC87" s="2" t="n">
        <v>3.99</v>
      </c>
      <c r="AD87" s="2" t="n">
        <v>0.0</v>
      </c>
      <c r="AE87" s="2" t="n">
        <v>0</v>
      </c>
      <c r="AF87" s="2" t="n">
        <v>-8.99</v>
      </c>
      <c r="AG87" s="0" t="n">
        <v>1.5</v>
      </c>
      <c r="AH87" s="0" t="n">
        <v>-0.78</v>
      </c>
      <c r="AI87" s="0" t="n">
        <v>-9.77</v>
      </c>
      <c r="AJ87" s="0" t="s">
        <v>6</v>
      </c>
      <c r="AK87" s="0" t="s">
        <v>331</v>
      </c>
      <c r="AL87" s="0" t="s">
        <v>332</v>
      </c>
      <c r="AM87" s="0" t="s">
        <v>333</v>
      </c>
      <c r="AN87" s="0" t="s">
        <v>69</v>
      </c>
    </row>
    <row r="88">
      <c r="A88" s="2" t="s">
        <v>329</v>
      </c>
      <c r="B88" s="0" t="s">
        <v>329</v>
      </c>
      <c r="C88" s="0" t="s">
        <v>63</v>
      </c>
      <c r="D88" s="0" t="s">
        <v>11</v>
      </c>
      <c r="E88" s="0" t="s">
        <v>14</v>
      </c>
      <c r="F88" s="0" t="s">
        <v>65</v>
      </c>
      <c r="G88" s="0" t="s">
        <v>334</v>
      </c>
      <c r="H88" s="2" t="n">
        <v>31.18</v>
      </c>
      <c r="I88" s="2" t="n">
        <v>31.18</v>
      </c>
      <c r="J88" s="2" t="n">
        <v>25.9</v>
      </c>
      <c r="K88" s="2" t="n">
        <v>0.0</v>
      </c>
      <c r="L88" s="2" t="n">
        <v>-0.0</v>
      </c>
      <c r="M88" s="2" t="n">
        <v>25.9</v>
      </c>
      <c r="N88" s="2" t="n">
        <v>0.0</v>
      </c>
      <c r="O88" s="2" t="n">
        <v>0.99</v>
      </c>
      <c r="P88" s="2" t="n">
        <v>0.16</v>
      </c>
      <c r="Q88" s="2" t="n">
        <v>1.3</v>
      </c>
      <c r="R88" s="2" t="n">
        <v>-0.0</v>
      </c>
      <c r="S88" s="2" t="n">
        <v>-8.82</v>
      </c>
      <c r="T88" s="2" t="n">
        <v>1.47</v>
      </c>
      <c r="U88" s="2" t="n">
        <v>0.0</v>
      </c>
      <c r="V88" s="2" t="n">
        <v>0.0</v>
      </c>
      <c r="W88" s="2" t="n">
        <v>2.99</v>
      </c>
      <c r="X88" s="0" t="n">
        <v>5.83</v>
      </c>
      <c r="Y88" s="2" t="s">
        <v>6</v>
      </c>
      <c r="Z88" s="0" t="n">
        <v>-0.0</v>
      </c>
      <c r="AA88" s="2" t="n">
        <v>0</v>
      </c>
      <c r="AB88" s="2" t="n">
        <v>0</v>
      </c>
      <c r="AC88" s="2" t="n">
        <v>2.99</v>
      </c>
      <c r="AD88" s="2" t="n">
        <v>0.5</v>
      </c>
      <c r="AE88" s="2" t="n">
        <v>5.83</v>
      </c>
      <c r="AF88" s="2" t="n">
        <v>-6.22</v>
      </c>
      <c r="AG88" s="0" t="n">
        <v>1.04</v>
      </c>
      <c r="AH88" s="0" t="n">
        <v>-0.64</v>
      </c>
      <c r="AI88" s="0" t="n">
        <v>-15.68</v>
      </c>
      <c r="AJ88" s="0" t="s">
        <v>6</v>
      </c>
      <c r="AK88" s="0" t="s">
        <v>335</v>
      </c>
      <c r="AL88" s="0" t="s">
        <v>336</v>
      </c>
      <c r="AM88" s="0" t="s">
        <v>337</v>
      </c>
      <c r="AN88" s="0" t="s">
        <v>112</v>
      </c>
    </row>
    <row r="89">
      <c r="A89" s="2" t="s">
        <v>329</v>
      </c>
      <c r="B89" s="0" t="s">
        <v>329</v>
      </c>
      <c r="C89" s="0" t="s">
        <v>165</v>
      </c>
      <c r="D89" s="0" t="s">
        <v>11</v>
      </c>
      <c r="E89" s="0" t="s">
        <v>14</v>
      </c>
      <c r="F89" s="0" t="s">
        <v>65</v>
      </c>
      <c r="G89" s="0" t="s">
        <v>338</v>
      </c>
      <c r="H89" s="2" t="n">
        <v>34.34</v>
      </c>
      <c r="I89" s="2" t="n">
        <v>34.34</v>
      </c>
      <c r="J89" s="2" t="n">
        <v>37.85</v>
      </c>
      <c r="K89" s="2" t="n">
        <v>0.0</v>
      </c>
      <c r="L89" s="2" t="n">
        <v>-6.5</v>
      </c>
      <c r="M89" s="2" t="n">
        <v>31.35</v>
      </c>
      <c r="N89" s="2" t="n">
        <v>0.0</v>
      </c>
      <c r="O89" s="2" t="n">
        <v>0.0</v>
      </c>
      <c r="P89" s="2" t="n">
        <v>0.0</v>
      </c>
      <c r="Q89" s="2" t="n">
        <v>0.0</v>
      </c>
      <c r="R89" s="2" t="n">
        <v>-0.0</v>
      </c>
      <c r="S89" s="2" t="n">
        <v>-0.0</v>
      </c>
      <c r="T89" s="2" t="n">
        <v>0.0</v>
      </c>
      <c r="U89" s="2" t="n">
        <v>-2.99</v>
      </c>
      <c r="V89" s="2" t="n">
        <v>0.0</v>
      </c>
      <c r="W89" s="2" t="n">
        <v>2.99</v>
      </c>
      <c r="X89" s="0" t="n">
        <v>0.0</v>
      </c>
      <c r="Y89" s="2" t="s">
        <v>96</v>
      </c>
      <c r="Z89" s="0" t="n">
        <v>-0.0</v>
      </c>
      <c r="AA89" s="2" t="n">
        <v>0</v>
      </c>
      <c r="AB89" s="2" t="n">
        <v>0</v>
      </c>
      <c r="AC89" s="2" t="n">
        <v>2.99</v>
      </c>
      <c r="AD89" s="2" t="n">
        <v>0.0</v>
      </c>
      <c r="AE89" s="2" t="n">
        <v>0</v>
      </c>
      <c r="AF89" s="2" t="n">
        <v>-7.53</v>
      </c>
      <c r="AG89" s="0" t="n">
        <v>1.26</v>
      </c>
      <c r="AH89" s="0" t="n">
        <v>-0.68</v>
      </c>
      <c r="AI89" s="0" t="n">
        <v>-8.21</v>
      </c>
      <c r="AJ89" s="0" t="s">
        <v>6</v>
      </c>
      <c r="AK89" s="0" t="s">
        <v>339</v>
      </c>
      <c r="AL89" s="0" t="s">
        <v>340</v>
      </c>
      <c r="AM89" s="0" t="s">
        <v>341</v>
      </c>
      <c r="AN89" s="0" t="s">
        <v>69</v>
      </c>
    </row>
    <row r="90">
      <c r="A90" s="24">
</c>
      <c r="B90" s="24">
</c>
      <c r="C90" s="24">
</c>
      <c r="D90" s="24">
</c>
      <c r="E90" s="24">
</c>
      <c r="F90" s="24">
</c>
      <c r="G90" s="25" t="s">
        <v>342</v>
      </c>
      <c r="H90" s="26">
        <f>SUM(H20:H89)</f>
      </c>
      <c r="I90" s="26">
        <f>SUM(I20:I89)</f>
      </c>
      <c r="J90" s="26">
        <f>SUM(J20:J89)</f>
      </c>
      <c r="K90" s="26">
        <f>SUM(K20:K89)</f>
      </c>
      <c r="L90" s="26">
        <f>SUM(L20:L89)</f>
      </c>
      <c r="M90" s="26">
        <f>SUM(M20:M89)</f>
      </c>
      <c r="N90" s="26">
        <f>SUM(N20:N89)</f>
      </c>
      <c r="O90" s="26">
        <f>SUM(O20:O89)</f>
      </c>
      <c r="P90" s="26">
        <f>SUM(P20:P89)</f>
      </c>
      <c r="Q90" s="26">
        <f>SUM(Q20:Q89)</f>
      </c>
      <c r="R90" s="26">
        <f>SUM(R20:R89)</f>
      </c>
      <c r="S90" s="26">
        <f>SUM(S20:S89)</f>
      </c>
      <c r="T90" s="26">
        <f>SUM(T20:T89)</f>
      </c>
      <c r="U90" s="26">
        <f>SUM(U20:U89)</f>
      </c>
      <c r="V90" s="26">
        <f>SUM(V20:V89)</f>
      </c>
      <c r="W90" s="26">
        <f>SUM(W20:W89)</f>
      </c>
      <c r="X90" s="24">
</c>
      <c r="Y90" s="27">
        <f>SUM(Y20:Y89)</f>
      </c>
      <c r="Z90" s="24">
</c>
      <c r="AA90" s="26">
        <f>SUM(AA20:AA89)</f>
      </c>
      <c r="AB90" s="26">
        <f>SUM(AB20:AB89)</f>
      </c>
      <c r="AC90" s="26">
        <f>SUM(AC20:AC89)</f>
      </c>
      <c r="AD90" s="26">
        <f>SUM(AD20:AD89)</f>
      </c>
      <c r="AE90" s="26">
        <f>SUM(AE20:AE89)</f>
      </c>
      <c r="AF90" s="26">
        <f>SUM(AF20:AF89)</f>
      </c>
      <c r="AG90" s="26">
        <f>SUM(AG20:AG89)</f>
      </c>
      <c r="AH90" s="26">
        <f>SUM(AH20:AH89)</f>
      </c>
      <c r="AI90" s="26">
        <f>SUM(AI20:AI89)</f>
      </c>
      <c r="AJ90" s="24">
</c>
      <c r="AK90" s="24">
</c>
      <c r="AL90" s="24">
</c>
    </row>
    <row r="91">
</row>
    <row r="92">
      <c r="A92" s="19" t="s">
        <v>343</v>
      </c>
      <c r="B92" s="20" t="s">
        <v>6</v>
      </c>
      <c r="C92" s="20" t="s">
        <v>6</v>
      </c>
      <c r="D92" s="20" t="s">
        <v>6</v>
      </c>
      <c r="E92" s="20" t="s">
        <v>6</v>
      </c>
      <c r="F92" s="20" t="s">
        <v>6</v>
      </c>
      <c r="G92" s="20" t="s">
        <v>6</v>
      </c>
      <c r="H92" s="19" t="s">
        <v>6</v>
      </c>
      <c r="I92" s="19" t="s">
        <v>6</v>
      </c>
      <c r="J92" s="19" t="s">
        <v>6</v>
      </c>
      <c r="K92" s="19" t="s">
        <v>6</v>
      </c>
      <c r="L92" s="19" t="s">
        <v>6</v>
      </c>
      <c r="M92" s="19" t="s">
        <v>6</v>
      </c>
      <c r="N92" s="19" t="s">
        <v>6</v>
      </c>
      <c r="O92" s="19" t="s">
        <v>6</v>
      </c>
      <c r="P92" s="19" t="s">
        <v>6</v>
      </c>
      <c r="Q92" s="19" t="s">
        <v>6</v>
      </c>
      <c r="R92" s="19" t="s">
        <v>6</v>
      </c>
      <c r="S92" s="19" t="s">
        <v>6</v>
      </c>
      <c r="T92" s="19" t="s">
        <v>6</v>
      </c>
      <c r="U92" s="19" t="s">
        <v>6</v>
      </c>
      <c r="V92" s="19" t="s">
        <v>6</v>
      </c>
      <c r="W92" s="19" t="s">
        <v>6</v>
      </c>
      <c r="X92" s="20" t="s">
        <v>6</v>
      </c>
      <c r="Y92" s="19" t="s">
        <v>6</v>
      </c>
      <c r="Z92" s="20" t="s">
        <v>6</v>
      </c>
      <c r="AA92" s="19" t="s">
        <v>6</v>
      </c>
      <c r="AB92" s="19" t="s">
        <v>6</v>
      </c>
      <c r="AC92" s="19" t="s">
        <v>6</v>
      </c>
      <c r="AD92" s="19" t="s">
        <v>6</v>
      </c>
      <c r="AE92" s="19" t="s">
        <v>6</v>
      </c>
      <c r="AF92" s="19" t="s">
        <v>6</v>
      </c>
      <c r="AG92" s="20" t="s">
        <v>6</v>
      </c>
      <c r="AH92" s="20" t="s">
        <v>6</v>
      </c>
      <c r="AI92" s="20" t="s">
        <v>6</v>
      </c>
      <c r="AJ92" s="20" t="s">
        <v>6</v>
      </c>
      <c r="AK92" s="20" t="s">
        <v>6</v>
      </c>
      <c r="AL92" s="20" t="s">
        <v>6</v>
      </c>
    </row>
    <row r="93">
      <c r="A93" s="21" t="s">
        <v>22</v>
      </c>
      <c r="B93" s="22" t="s">
        <v>23</v>
      </c>
      <c r="C93" s="22" t="s">
        <v>24</v>
      </c>
      <c r="D93" s="22" t="s">
        <v>25</v>
      </c>
      <c r="E93" s="22" t="s">
        <v>26</v>
      </c>
      <c r="F93" s="22" t="s">
        <v>27</v>
      </c>
      <c r="G93" s="22" t="s">
        <v>28</v>
      </c>
      <c r="H93" s="23" t="s">
        <v>29</v>
      </c>
      <c r="I93" s="23" t="s">
        <v>30</v>
      </c>
      <c r="J93" s="23" t="s">
        <v>31</v>
      </c>
      <c r="K93" s="23" t="s">
        <v>32</v>
      </c>
      <c r="L93" s="23" t="s">
        <v>33</v>
      </c>
      <c r="M93" s="23" t="s">
        <v>34</v>
      </c>
      <c r="N93" s="23" t="s">
        <v>35</v>
      </c>
      <c r="O93" s="23" t="s">
        <v>36</v>
      </c>
      <c r="P93" s="23" t="s">
        <v>37</v>
      </c>
      <c r="Q93" s="23" t="s">
        <v>38</v>
      </c>
      <c r="R93" s="23" t="s">
        <v>39</v>
      </c>
      <c r="S93" s="23" t="s">
        <v>40</v>
      </c>
      <c r="T93" s="23" t="s">
        <v>41</v>
      </c>
      <c r="U93" s="23" t="s">
        <v>42</v>
      </c>
      <c r="V93" s="23" t="s">
        <v>43</v>
      </c>
      <c r="W93" s="21" t="s">
        <v>44</v>
      </c>
      <c r="X93" s="22" t="s">
        <v>45</v>
      </c>
      <c r="Y93" s="21" t="s">
        <v>46</v>
      </c>
      <c r="Z93" s="22" t="s">
        <v>47</v>
      </c>
      <c r="AA93" s="21" t="s">
        <v>48</v>
      </c>
      <c r="AB93" s="21" t="s">
        <v>49</v>
      </c>
      <c r="AC93" s="21" t="s">
        <v>50</v>
      </c>
      <c r="AD93" s="21" t="s">
        <v>51</v>
      </c>
      <c r="AE93" s="21" t="s">
        <v>52</v>
      </c>
      <c r="AF93" s="21" t="s">
        <v>53</v>
      </c>
      <c r="AG93" s="22" t="s">
        <v>54</v>
      </c>
      <c r="AH93" s="22" t="s">
        <v>55</v>
      </c>
      <c r="AI93" s="22" t="s">
        <v>56</v>
      </c>
      <c r="AJ93" s="22" t="s">
        <v>57</v>
      </c>
      <c r="AK93" s="22" t="s">
        <v>58</v>
      </c>
      <c r="AL93" s="22" t="s">
        <v>59</v>
      </c>
      <c r="AM93" s="22" t="s">
        <v>60</v>
      </c>
      <c r="AN93" s="22" t="s">
        <v>61</v>
      </c>
    </row>
    <row r="94">
      <c r="A94" s="2" t="s">
        <v>164</v>
      </c>
      <c r="B94" s="0" t="s">
        <v>164</v>
      </c>
      <c r="C94" s="0" t="s">
        <v>238</v>
      </c>
      <c r="D94" s="0" t="s">
        <v>11</v>
      </c>
      <c r="E94" s="0" t="s">
        <v>14</v>
      </c>
      <c r="F94" s="0" t="s">
        <v>344</v>
      </c>
      <c r="G94" s="0" t="s">
        <v>345</v>
      </c>
      <c r="H94" s="2" t="n">
        <v>11.48</v>
      </c>
      <c r="I94" s="2" t="n">
        <v>0.0</v>
      </c>
      <c r="J94" s="2" t="n">
        <v>10.0</v>
      </c>
      <c r="K94" s="2" t="n">
        <v>1.0833333333333333</v>
      </c>
      <c r="L94" s="2" t="n">
        <v>-2.5</v>
      </c>
      <c r="M94" s="2" t="n">
        <v>7.5</v>
      </c>
      <c r="N94" s="2" t="n">
        <v>0.0</v>
      </c>
      <c r="O94" s="2" t="n">
        <v>0.99</v>
      </c>
      <c r="P94" s="2" t="n">
        <v>0.16</v>
      </c>
      <c r="Q94" s="2" t="n">
        <v>0.0</v>
      </c>
      <c r="R94" s="2" t="n">
        <v>-11.48</v>
      </c>
      <c r="S94" s="2" t="n">
        <v>-8.82</v>
      </c>
      <c r="T94" s="2" t="n">
        <v>1.47</v>
      </c>
      <c r="U94" s="2" t="n">
        <v>-8.82</v>
      </c>
      <c r="V94" s="2" t="n">
        <v>0.0</v>
      </c>
      <c r="W94" s="2" t="n">
        <v>2.99</v>
      </c>
      <c r="X94" s="0" t="n">
        <v>5.83</v>
      </c>
      <c r="Y94" s="2" t="s">
        <v>346</v>
      </c>
      <c r="Z94" s="0" t="n">
        <v>-0.0</v>
      </c>
      <c r="AA94" s="2" t="n">
        <v>0</v>
      </c>
      <c r="AB94" s="2" t="n">
        <v>0</v>
      </c>
      <c r="AC94" s="2" t="n">
        <v>2.99</v>
      </c>
      <c r="AD94" s="2" t="n">
        <v>0.5</v>
      </c>
      <c r="AE94" s="2" t="n">
        <v>5.83</v>
      </c>
      <c r="AF94" s="2" t="n">
        <v>-1.8</v>
      </c>
      <c r="AG94" s="0" t="n">
        <v>0.3</v>
      </c>
      <c r="AH94" s="0" t="n">
        <v>-0.36</v>
      </c>
      <c r="AI94" s="0" t="n">
        <v>-10.98</v>
      </c>
      <c r="AJ94" s="0" t="s">
        <v>6</v>
      </c>
      <c r="AK94" s="0" t="s">
        <v>347</v>
      </c>
      <c r="AL94" s="0" t="s">
        <v>348</v>
      </c>
      <c r="AM94" s="0" t="s">
        <v>349</v>
      </c>
      <c r="AN94" s="0" t="s">
        <v>69</v>
      </c>
    </row>
    <row r="95">
      <c r="A95" s="2" t="s">
        <v>191</v>
      </c>
      <c r="B95" s="0" t="s">
        <v>191</v>
      </c>
      <c r="C95" s="0" t="s">
        <v>238</v>
      </c>
      <c r="D95" s="0" t="s">
        <v>11</v>
      </c>
      <c r="E95" s="0" t="s">
        <v>14</v>
      </c>
      <c r="F95" s="0" t="s">
        <v>350</v>
      </c>
      <c r="G95" s="0" t="s">
        <v>351</v>
      </c>
      <c r="H95" s="2" t="n">
        <v>15.53</v>
      </c>
      <c r="I95" s="2" t="n">
        <v>0.0</v>
      </c>
      <c r="J95" s="2" t="n">
        <v>16.5</v>
      </c>
      <c r="K95" s="2" t="n">
        <v>0.0</v>
      </c>
      <c r="L95" s="2" t="n">
        <v>-4.95</v>
      </c>
      <c r="M95" s="2" t="n">
        <v>11.55</v>
      </c>
      <c r="N95" s="2" t="n">
        <v>0.0</v>
      </c>
      <c r="O95" s="2" t="n">
        <v>0.99</v>
      </c>
      <c r="P95" s="2" t="n">
        <v>0.16</v>
      </c>
      <c r="Q95" s="2" t="n">
        <v>0.0</v>
      </c>
      <c r="R95" s="2" t="n">
        <v>-15.53</v>
      </c>
      <c r="S95" s="2" t="n">
        <v>-8.82</v>
      </c>
      <c r="T95" s="2" t="n">
        <v>1.47</v>
      </c>
      <c r="U95" s="2" t="n">
        <v>-8.82</v>
      </c>
      <c r="V95" s="2" t="n">
        <v>0.0</v>
      </c>
      <c r="W95" s="2" t="n">
        <v>2.99</v>
      </c>
      <c r="X95" s="0" t="n">
        <v>5.83</v>
      </c>
      <c r="Y95" s="2" t="s">
        <v>352</v>
      </c>
      <c r="Z95" s="0" t="n">
        <v>-0.0</v>
      </c>
      <c r="AA95" s="2" t="n">
        <v>0</v>
      </c>
      <c r="AB95" s="2" t="n">
        <v>0</v>
      </c>
      <c r="AC95" s="2" t="n">
        <v>2.99</v>
      </c>
      <c r="AD95" s="2" t="n">
        <v>0.5</v>
      </c>
      <c r="AE95" s="2" t="n">
        <v>5.83</v>
      </c>
      <c r="AF95" s="2" t="n">
        <v>-2.78</v>
      </c>
      <c r="AG95" s="0" t="n">
        <v>0.46</v>
      </c>
      <c r="AH95" s="0" t="n">
        <v>-0.42</v>
      </c>
      <c r="AI95" s="0" t="n">
        <v>-12.02</v>
      </c>
      <c r="AJ95" s="0" t="s">
        <v>6</v>
      </c>
      <c r="AK95" s="0" t="s">
        <v>6</v>
      </c>
      <c r="AL95" s="0" t="s">
        <v>353</v>
      </c>
      <c r="AM95" s="0" t="s">
        <v>354</v>
      </c>
      <c r="AN95" s="0" t="s">
        <v>69</v>
      </c>
    </row>
    <row r="96">
      <c r="A96" s="2" t="s">
        <v>217</v>
      </c>
      <c r="B96" s="0" t="s">
        <v>217</v>
      </c>
      <c r="C96" s="0" t="s">
        <v>355</v>
      </c>
      <c r="D96" s="0" t="s">
        <v>11</v>
      </c>
      <c r="E96" s="0" t="s">
        <v>14</v>
      </c>
      <c r="F96" s="0" t="s">
        <v>65</v>
      </c>
      <c r="G96" s="0" t="s">
        <v>356</v>
      </c>
      <c r="H96" s="2" t="n">
        <v>27.13</v>
      </c>
      <c r="I96" s="2" t="n">
        <v>0.0</v>
      </c>
      <c r="J96" s="2" t="n">
        <v>29.65</v>
      </c>
      <c r="K96" s="2" t="n">
        <v>4.941666666666666</v>
      </c>
      <c r="L96" s="2" t="n">
        <v>-6.5</v>
      </c>
      <c r="M96" s="2" t="n">
        <v>23.15</v>
      </c>
      <c r="N96" s="2" t="n">
        <v>0.0</v>
      </c>
      <c r="O96" s="2" t="n">
        <v>0.99</v>
      </c>
      <c r="P96" s="2" t="n">
        <v>0.16</v>
      </c>
      <c r="Q96" s="2" t="n">
        <v>0.0</v>
      </c>
      <c r="R96" s="2" t="n">
        <v>-27.13</v>
      </c>
      <c r="S96" s="2" t="n">
        <v>-7.14</v>
      </c>
      <c r="T96" s="2" t="n">
        <v>1.19</v>
      </c>
      <c r="U96" s="2" t="n">
        <v>-7.14</v>
      </c>
      <c r="V96" s="2" t="n">
        <v>0.0</v>
      </c>
      <c r="W96" s="2" t="n">
        <v>2.99</v>
      </c>
      <c r="X96" s="0" t="n">
        <v>4.15</v>
      </c>
      <c r="Y96" s="2" t="s">
        <v>96</v>
      </c>
      <c r="Z96" s="0" t="n">
        <v>-0.0</v>
      </c>
      <c r="AA96" s="2" t="n">
        <v>0</v>
      </c>
      <c r="AB96" s="2" t="n">
        <v>0</v>
      </c>
      <c r="AC96" s="2" t="n">
        <v>2.99</v>
      </c>
      <c r="AD96" s="2" t="n">
        <v>0.5</v>
      </c>
      <c r="AE96" s="2" t="n">
        <v>4.15</v>
      </c>
      <c r="AF96" s="2" t="n">
        <v>-5.56</v>
      </c>
      <c r="AG96" s="0" t="n">
        <v>0.93</v>
      </c>
      <c r="AH96" s="0" t="n">
        <v>-0.99</v>
      </c>
      <c r="AI96" s="0" t="n">
        <v>-13.69</v>
      </c>
      <c r="AJ96" s="0" t="s">
        <v>6</v>
      </c>
      <c r="AK96" s="0" t="s">
        <v>357</v>
      </c>
      <c r="AL96" s="0" t="s">
        <v>358</v>
      </c>
      <c r="AM96" s="0" t="s">
        <v>359</v>
      </c>
      <c r="AN96" s="0" t="s">
        <v>79</v>
      </c>
    </row>
    <row r="97">
      <c r="A97" s="2" t="s">
        <v>217</v>
      </c>
      <c r="B97" s="0" t="s">
        <v>217</v>
      </c>
      <c r="C97" s="0" t="s">
        <v>63</v>
      </c>
      <c r="D97" s="0" t="s">
        <v>10</v>
      </c>
      <c r="E97" s="0" t="s">
        <v>64</v>
      </c>
      <c r="F97" s="0" t="s">
        <v>344</v>
      </c>
      <c r="G97" s="0" t="s">
        <v>360</v>
      </c>
      <c r="H97" s="2" t="n">
        <v>16.24</v>
      </c>
      <c r="I97" s="2" t="n">
        <v>0.0</v>
      </c>
      <c r="J97" s="2" t="n">
        <v>15.25</v>
      </c>
      <c r="K97" s="2" t="n">
        <v>0.0</v>
      </c>
      <c r="L97" s="2" t="n">
        <v>-0.0</v>
      </c>
      <c r="M97" s="2" t="n">
        <v>15.25</v>
      </c>
      <c r="N97" s="2" t="n">
        <v>0.0</v>
      </c>
      <c r="O97" s="2" t="n">
        <v>0.99</v>
      </c>
      <c r="P97" s="2" t="n">
        <v>0.16</v>
      </c>
      <c r="Q97" s="2" t="n">
        <v>0.0</v>
      </c>
      <c r="R97" s="2" t="n">
        <v>-16.24</v>
      </c>
      <c r="S97" s="2" t="n">
        <v>-0.0</v>
      </c>
      <c r="T97" s="2" t="n">
        <v>0.0</v>
      </c>
      <c r="U97" s="2" t="n">
        <v>0.0</v>
      </c>
      <c r="V97" s="2" t="n">
        <v>0.0</v>
      </c>
      <c r="W97" s="2" t="n">
        <v>0.0</v>
      </c>
      <c r="X97" s="0" t="n">
        <v>0.0</v>
      </c>
      <c r="Y97" s="2" t="s">
        <v>6</v>
      </c>
      <c r="Z97" s="0" t="n">
        <v>-0.0</v>
      </c>
      <c r="AA97" s="2" t="n">
        <v>0</v>
      </c>
      <c r="AB97" s="2" t="n">
        <v>0</v>
      </c>
      <c r="AC97" s="2" t="n">
        <v>0.0</v>
      </c>
      <c r="AD97" s="2" t="n">
        <v>0.0</v>
      </c>
      <c r="AE97" s="2" t="n">
        <v>0.0</v>
      </c>
      <c r="AF97" s="2" t="n">
        <v>-3.66</v>
      </c>
      <c r="AG97" s="0" t="n">
        <v>0.61</v>
      </c>
      <c r="AH97" s="0" t="n">
        <v>-0.43</v>
      </c>
      <c r="AI97" s="0" t="n">
        <v>-4.09</v>
      </c>
      <c r="AJ97" s="0" t="s">
        <v>6</v>
      </c>
      <c r="AK97" s="0" t="s">
        <v>6</v>
      </c>
      <c r="AL97" s="0" t="s">
        <v>361</v>
      </c>
      <c r="AM97" s="0" t="s">
        <v>362</v>
      </c>
      <c r="AN97" s="0" t="s">
        <v>69</v>
      </c>
    </row>
    <row r="98">
      <c r="A98" s="2" t="s">
        <v>234</v>
      </c>
      <c r="B98" s="0" t="s">
        <v>234</v>
      </c>
      <c r="C98" s="0" t="s">
        <v>355</v>
      </c>
      <c r="D98" s="0" t="s">
        <v>10</v>
      </c>
      <c r="E98" s="0" t="s">
        <v>64</v>
      </c>
      <c r="F98" s="0" t="s">
        <v>363</v>
      </c>
      <c r="G98" s="0" t="s">
        <v>364</v>
      </c>
      <c r="H98" s="2" t="n">
        <v>20.49</v>
      </c>
      <c r="I98" s="2" t="n">
        <v>20.49</v>
      </c>
      <c r="J98" s="2" t="n">
        <v>26.0</v>
      </c>
      <c r="K98" s="2" t="n">
        <v>4.333333333333333</v>
      </c>
      <c r="L98" s="2" t="n">
        <v>-6.5</v>
      </c>
      <c r="M98" s="2" t="n">
        <v>19.5</v>
      </c>
      <c r="N98" s="2" t="n">
        <v>0.0</v>
      </c>
      <c r="O98" s="2" t="n">
        <v>0.99</v>
      </c>
      <c r="P98" s="2" t="n">
        <v>0.16</v>
      </c>
      <c r="Q98" s="2" t="n">
        <v>0.0</v>
      </c>
      <c r="R98" s="2" t="n">
        <v>-0.0</v>
      </c>
      <c r="S98" s="2" t="n">
        <v>-0.0</v>
      </c>
      <c r="T98" s="2" t="n">
        <v>0.0</v>
      </c>
      <c r="U98" s="2" t="n">
        <v>0.0</v>
      </c>
      <c r="V98" s="2" t="n">
        <v>0.0</v>
      </c>
      <c r="W98" s="2" t="n">
        <v>0.0</v>
      </c>
      <c r="X98" s="0" t="n">
        <v>0.0</v>
      </c>
      <c r="Y98" s="2" t="s">
        <v>96</v>
      </c>
      <c r="Z98" s="0" t="n">
        <v>-0.0</v>
      </c>
      <c r="AA98" s="2" t="n">
        <v>0</v>
      </c>
      <c r="AB98" s="2" t="n">
        <v>0</v>
      </c>
      <c r="AC98" s="2" t="n">
        <v>0.0</v>
      </c>
      <c r="AD98" s="2" t="n">
        <v>0.0</v>
      </c>
      <c r="AE98" s="2" t="n">
        <v>0.0</v>
      </c>
      <c r="AF98" s="2" t="n">
        <v>-4.68</v>
      </c>
      <c r="AG98" s="0" t="n">
        <v>0.78</v>
      </c>
      <c r="AH98" s="0" t="n">
        <v>-0.49</v>
      </c>
      <c r="AI98" s="0" t="n">
        <v>-5.17</v>
      </c>
      <c r="AJ98" s="0" t="s">
        <v>6</v>
      </c>
      <c r="AK98" s="0" t="s">
        <v>6</v>
      </c>
      <c r="AL98" s="0" t="s">
        <v>365</v>
      </c>
      <c r="AM98" s="0" t="s">
        <v>366</v>
      </c>
      <c r="AN98" s="0" t="s">
        <v>69</v>
      </c>
    </row>
    <row r="99">
      <c r="A99" s="2" t="s">
        <v>234</v>
      </c>
      <c r="B99" s="0" t="s">
        <v>234</v>
      </c>
      <c r="C99" s="0" t="s">
        <v>238</v>
      </c>
      <c r="D99" s="0" t="s">
        <v>11</v>
      </c>
      <c r="E99" s="0" t="s">
        <v>14</v>
      </c>
      <c r="F99" s="0" t="s">
        <v>344</v>
      </c>
      <c r="G99" s="0" t="s">
        <v>367</v>
      </c>
      <c r="H99" s="2" t="n">
        <v>15.28</v>
      </c>
      <c r="I99" s="2" t="n">
        <v>0.0</v>
      </c>
      <c r="J99" s="2" t="n">
        <v>11.3</v>
      </c>
      <c r="K99" s="2" t="n">
        <v>0.0</v>
      </c>
      <c r="L99" s="2" t="n">
        <v>-0.0</v>
      </c>
      <c r="M99" s="2" t="n">
        <v>11.3</v>
      </c>
      <c r="N99" s="2" t="n">
        <v>0.0</v>
      </c>
      <c r="O99" s="2" t="n">
        <v>0.99</v>
      </c>
      <c r="P99" s="2" t="n">
        <v>0.16</v>
      </c>
      <c r="Q99" s="2" t="n">
        <v>0.0</v>
      </c>
      <c r="R99" s="2" t="n">
        <v>-15.28</v>
      </c>
      <c r="S99" s="2" t="n">
        <v>-8.82</v>
      </c>
      <c r="T99" s="2" t="n">
        <v>1.47</v>
      </c>
      <c r="U99" s="2" t="n">
        <v>-8.82</v>
      </c>
      <c r="V99" s="2" t="n">
        <v>0.0</v>
      </c>
      <c r="W99" s="2" t="n">
        <v>2.99</v>
      </c>
      <c r="X99" s="0" t="n">
        <v>5.83</v>
      </c>
      <c r="Y99" s="2" t="s">
        <v>6</v>
      </c>
      <c r="Z99" s="0" t="n">
        <v>-0.0</v>
      </c>
      <c r="AA99" s="2" t="n">
        <v>0</v>
      </c>
      <c r="AB99" s="2" t="n">
        <v>0</v>
      </c>
      <c r="AC99" s="2" t="n">
        <v>2.99</v>
      </c>
      <c r="AD99" s="2" t="n">
        <v>0.5</v>
      </c>
      <c r="AE99" s="2" t="n">
        <v>5.83</v>
      </c>
      <c r="AF99" s="2" t="n">
        <v>-2.72</v>
      </c>
      <c r="AG99" s="0" t="n">
        <v>0.45</v>
      </c>
      <c r="AH99" s="0" t="n">
        <v>-0.64</v>
      </c>
      <c r="AI99" s="0" t="n">
        <v>-12.18</v>
      </c>
      <c r="AJ99" s="0" t="s">
        <v>6</v>
      </c>
      <c r="AK99" s="0" t="s">
        <v>368</v>
      </c>
      <c r="AL99" s="0" t="s">
        <v>369</v>
      </c>
      <c r="AM99" s="0" t="s">
        <v>370</v>
      </c>
      <c r="AN99" s="0" t="s">
        <v>79</v>
      </c>
    </row>
    <row r="100">
      <c r="A100" s="2" t="s">
        <v>371</v>
      </c>
      <c r="B100" s="0" t="s">
        <v>371</v>
      </c>
      <c r="C100" s="0" t="s">
        <v>355</v>
      </c>
      <c r="D100" s="0" t="s">
        <v>11</v>
      </c>
      <c r="E100" s="0" t="s">
        <v>14</v>
      </c>
      <c r="F100" s="0" t="s">
        <v>65</v>
      </c>
      <c r="G100" s="0" t="s">
        <v>372</v>
      </c>
      <c r="H100" s="2" t="n">
        <v>25.18</v>
      </c>
      <c r="I100" s="2" t="n">
        <v>0.0</v>
      </c>
      <c r="J100" s="2" t="n">
        <v>27.7</v>
      </c>
      <c r="K100" s="2" t="n">
        <v>4.616666666666666</v>
      </c>
      <c r="L100" s="2" t="n">
        <v>-6.5</v>
      </c>
      <c r="M100" s="2" t="n">
        <v>21.2</v>
      </c>
      <c r="N100" s="2" t="n">
        <v>0.0</v>
      </c>
      <c r="O100" s="2" t="n">
        <v>0.99</v>
      </c>
      <c r="P100" s="2" t="n">
        <v>0.16</v>
      </c>
      <c r="Q100" s="2" t="n">
        <v>0.0</v>
      </c>
      <c r="R100" s="2" t="n">
        <v>-25.18</v>
      </c>
      <c r="S100" s="2" t="n">
        <v>-7.14</v>
      </c>
      <c r="T100" s="2" t="n">
        <v>1.19</v>
      </c>
      <c r="U100" s="2" t="n">
        <v>-7.14</v>
      </c>
      <c r="V100" s="2" t="n">
        <v>0.0</v>
      </c>
      <c r="W100" s="2" t="n">
        <v>2.99</v>
      </c>
      <c r="X100" s="0" t="n">
        <v>4.15</v>
      </c>
      <c r="Y100" s="2" t="s">
        <v>96</v>
      </c>
      <c r="Z100" s="0" t="n">
        <v>-0.0</v>
      </c>
      <c r="AA100" s="2" t="n">
        <v>0</v>
      </c>
      <c r="AB100" s="2" t="n">
        <v>0</v>
      </c>
      <c r="AC100" s="2" t="n">
        <v>2.99</v>
      </c>
      <c r="AD100" s="2" t="n">
        <v>0.5</v>
      </c>
      <c r="AE100" s="2" t="n">
        <v>4.15</v>
      </c>
      <c r="AF100" s="2" t="n">
        <v>-5.09</v>
      </c>
      <c r="AG100" s="0" t="n">
        <v>0.85</v>
      </c>
      <c r="AH100" s="0" t="n">
        <v>-0.55</v>
      </c>
      <c r="AI100" s="0" t="n">
        <v>-12.78</v>
      </c>
      <c r="AJ100" s="0" t="s">
        <v>6</v>
      </c>
      <c r="AK100" s="0" t="s">
        <v>373</v>
      </c>
      <c r="AL100" s="0" t="s">
        <v>374</v>
      </c>
      <c r="AM100" s="0" t="s">
        <v>375</v>
      </c>
      <c r="AN100" s="0" t="s">
        <v>79</v>
      </c>
    </row>
    <row r="101">
      <c r="A101" s="24">
</c>
      <c r="B101" s="24">
</c>
      <c r="C101" s="24">
</c>
      <c r="D101" s="24">
</c>
      <c r="E101" s="24">
</c>
      <c r="F101" s="24">
</c>
      <c r="G101" s="25" t="s">
        <v>342</v>
      </c>
      <c r="H101" s="26">
        <f>SUM(H93:H100)</f>
      </c>
      <c r="I101" s="26">
        <f>SUM(I93:I100)</f>
      </c>
      <c r="J101" s="26">
        <f>SUM(J93:J100)</f>
      </c>
      <c r="K101" s="26">
        <f>SUM(K93:K100)</f>
      </c>
      <c r="L101" s="26">
        <f>SUM(L93:L100)</f>
      </c>
      <c r="M101" s="26">
        <f>SUM(M93:M100)</f>
      </c>
      <c r="N101" s="26">
        <f>SUM(N93:N100)</f>
      </c>
      <c r="O101" s="26">
        <f>SUM(O93:O100)</f>
      </c>
      <c r="P101" s="26">
        <f>SUM(P93:P100)</f>
      </c>
      <c r="Q101" s="26">
        <f>SUM(Q93:Q100)</f>
      </c>
      <c r="R101" s="26">
        <f>SUM(R93:R100)</f>
      </c>
      <c r="S101" s="26">
        <f>SUM(S93:S100)</f>
      </c>
      <c r="T101" s="26">
        <f>SUM(T93:T100)</f>
      </c>
      <c r="U101" s="26">
        <f>SUM(U93:U100)</f>
      </c>
      <c r="V101" s="26">
        <f>SUM(V93:V100)</f>
      </c>
      <c r="W101" s="26">
        <f>SUM(W93:W100)</f>
      </c>
      <c r="X101" s="24">
</c>
      <c r="Y101" s="27">
        <f>SUM(Y93:Y100)</f>
      </c>
      <c r="Z101" s="24">
</c>
      <c r="AA101" s="26">
        <f>SUM(AA93:AA100)</f>
      </c>
      <c r="AB101" s="26">
        <f>SUM(AB93:AB100)</f>
      </c>
      <c r="AC101" s="26">
        <f>SUM(AC93:AC100)</f>
      </c>
      <c r="AD101" s="26">
        <f>SUM(AD93:AD100)</f>
      </c>
      <c r="AE101" s="26">
        <f>SUM(AE93:AE100)</f>
      </c>
      <c r="AF101" s="26">
        <f>SUM(AF93:AF100)</f>
      </c>
      <c r="AG101" s="26">
        <f>SUM(AG93:AG100)</f>
      </c>
      <c r="AH101" s="26">
        <f>SUM(AH93:AH100)</f>
      </c>
      <c r="AI101" s="26">
        <f>SUM(AI93:AI100)</f>
      </c>
      <c r="AJ101" s="24">
</c>
      <c r="AK101" s="24">
</c>
      <c r="AL101" s="24">
</c>
    </row>
    <row r="102">
</row>
    <row r="103">
      <c r="A103" s="19" t="s">
        <v>376</v>
      </c>
      <c r="B103" s="20" t="s">
        <v>6</v>
      </c>
      <c r="C103" s="20" t="s">
        <v>6</v>
      </c>
      <c r="D103" s="20" t="s">
        <v>6</v>
      </c>
      <c r="E103" s="20" t="s">
        <v>6</v>
      </c>
      <c r="F103" s="20" t="s">
        <v>6</v>
      </c>
      <c r="G103" s="20" t="s">
        <v>6</v>
      </c>
      <c r="H103" s="19" t="s">
        <v>6</v>
      </c>
      <c r="I103" s="19" t="s">
        <v>6</v>
      </c>
      <c r="J103" s="19" t="s">
        <v>6</v>
      </c>
      <c r="K103" s="19" t="s">
        <v>6</v>
      </c>
      <c r="L103" s="19" t="s">
        <v>6</v>
      </c>
      <c r="M103" s="19" t="s">
        <v>6</v>
      </c>
      <c r="N103" s="19" t="s">
        <v>6</v>
      </c>
      <c r="O103" s="19" t="s">
        <v>6</v>
      </c>
      <c r="P103" s="19" t="s">
        <v>6</v>
      </c>
      <c r="Q103" s="19" t="s">
        <v>6</v>
      </c>
      <c r="R103" s="19" t="s">
        <v>6</v>
      </c>
      <c r="S103" s="19" t="s">
        <v>6</v>
      </c>
      <c r="T103" s="19" t="s">
        <v>6</v>
      </c>
      <c r="U103" s="19" t="s">
        <v>6</v>
      </c>
      <c r="V103" s="19" t="s">
        <v>6</v>
      </c>
      <c r="W103" s="19" t="s">
        <v>6</v>
      </c>
      <c r="X103" s="20" t="s">
        <v>6</v>
      </c>
      <c r="Y103" s="19" t="s">
        <v>6</v>
      </c>
      <c r="Z103" s="20" t="s">
        <v>6</v>
      </c>
      <c r="AA103" s="19" t="s">
        <v>6</v>
      </c>
      <c r="AB103" s="19" t="s">
        <v>6</v>
      </c>
      <c r="AC103" s="19" t="s">
        <v>6</v>
      </c>
      <c r="AD103" s="19" t="s">
        <v>6</v>
      </c>
      <c r="AE103" s="19" t="s">
        <v>6</v>
      </c>
      <c r="AF103" s="19" t="s">
        <v>6</v>
      </c>
      <c r="AG103" s="20" t="s">
        <v>6</v>
      </c>
      <c r="AH103" s="20" t="s">
        <v>6</v>
      </c>
      <c r="AI103" s="20" t="s">
        <v>6</v>
      </c>
      <c r="AJ103" s="20" t="s">
        <v>6</v>
      </c>
      <c r="AK103" s="20" t="s">
        <v>6</v>
      </c>
      <c r="AL103" s="20" t="s">
        <v>6</v>
      </c>
    </row>
    <row r="104">
      <c r="A104" s="21" t="s">
        <v>22</v>
      </c>
      <c r="B104" s="22" t="s">
        <v>23</v>
      </c>
      <c r="C104" s="22" t="s">
        <v>24</v>
      </c>
      <c r="D104" s="22" t="s">
        <v>25</v>
      </c>
      <c r="E104" s="22" t="s">
        <v>26</v>
      </c>
      <c r="F104" s="22" t="s">
        <v>27</v>
      </c>
      <c r="G104" s="22" t="s">
        <v>28</v>
      </c>
      <c r="H104" s="23" t="s">
        <v>29</v>
      </c>
      <c r="I104" s="23" t="s">
        <v>30</v>
      </c>
      <c r="J104" s="23" t="s">
        <v>31</v>
      </c>
      <c r="K104" s="23" t="s">
        <v>32</v>
      </c>
      <c r="L104" s="23" t="s">
        <v>33</v>
      </c>
      <c r="M104" s="23" t="s">
        <v>34</v>
      </c>
      <c r="N104" s="23" t="s">
        <v>35</v>
      </c>
      <c r="O104" s="23" t="s">
        <v>36</v>
      </c>
      <c r="P104" s="23" t="s">
        <v>37</v>
      </c>
      <c r="Q104" s="23" t="s">
        <v>38</v>
      </c>
      <c r="R104" s="23" t="s">
        <v>39</v>
      </c>
      <c r="S104" s="23" t="s">
        <v>40</v>
      </c>
      <c r="T104" s="23" t="s">
        <v>41</v>
      </c>
      <c r="U104" s="23" t="s">
        <v>42</v>
      </c>
      <c r="V104" s="23" t="s">
        <v>43</v>
      </c>
      <c r="W104" s="21" t="s">
        <v>44</v>
      </c>
      <c r="X104" s="22" t="s">
        <v>45</v>
      </c>
      <c r="Y104" s="21" t="s">
        <v>46</v>
      </c>
      <c r="Z104" s="22" t="s">
        <v>47</v>
      </c>
      <c r="AA104" s="21" t="s">
        <v>48</v>
      </c>
      <c r="AB104" s="21" t="s">
        <v>49</v>
      </c>
      <c r="AC104" s="21" t="s">
        <v>50</v>
      </c>
      <c r="AD104" s="21" t="s">
        <v>51</v>
      </c>
      <c r="AE104" s="21" t="s">
        <v>52</v>
      </c>
      <c r="AF104" s="21" t="s">
        <v>53</v>
      </c>
      <c r="AG104" s="22" t="s">
        <v>54</v>
      </c>
      <c r="AH104" s="22" t="s">
        <v>55</v>
      </c>
      <c r="AI104" s="22" t="s">
        <v>56</v>
      </c>
      <c r="AJ104" s="22" t="s">
        <v>57</v>
      </c>
      <c r="AK104" s="22" t="s">
        <v>58</v>
      </c>
      <c r="AL104" s="22" t="s">
        <v>59</v>
      </c>
      <c r="AM104" s="22" t="s">
        <v>60</v>
      </c>
      <c r="AN104" s="22" t="s">
        <v>61</v>
      </c>
    </row>
    <row r="105">
      <c r="A105" s="24">
</c>
      <c r="B105" s="24">
</c>
      <c r="C105" s="24">
</c>
      <c r="D105" s="24">
</c>
      <c r="E105" s="24">
</c>
      <c r="F105" s="24">
</c>
      <c r="G105" s="25" t="s">
        <v>342</v>
      </c>
      <c r="H105" s="26">
        <f>SUM(H104:H104)</f>
      </c>
      <c r="I105" s="26">
        <f>SUM(I104:I104)</f>
      </c>
      <c r="J105" s="26">
        <f>SUM(J104:J104)</f>
      </c>
      <c r="K105" s="26">
        <f>SUM(K104:K104)</f>
      </c>
      <c r="L105" s="26">
        <f>SUM(L104:L104)</f>
      </c>
      <c r="M105" s="26">
        <f>SUM(M104:M104)</f>
      </c>
      <c r="N105" s="26">
        <f>SUM(N104:N104)</f>
      </c>
      <c r="O105" s="26">
        <f>SUM(O104:O104)</f>
      </c>
      <c r="P105" s="26">
        <f>SUM(P104:P104)</f>
      </c>
      <c r="Q105" s="26">
        <f>SUM(Q104:Q104)</f>
      </c>
      <c r="R105" s="26">
        <f>SUM(R104:R104)</f>
      </c>
      <c r="S105" s="26">
        <f>SUM(S104:S104)</f>
      </c>
      <c r="T105" s="26">
        <f>SUM(T104:T104)</f>
      </c>
      <c r="U105" s="26">
        <f>SUM(U104:U104)</f>
      </c>
      <c r="V105" s="26">
        <f>SUM(V104:V104)</f>
      </c>
      <c r="W105" s="26">
        <f>SUM(W104:W104)</f>
      </c>
      <c r="X105" s="24">
</c>
      <c r="Y105" s="27">
        <f>SUM(Y104:Y104)</f>
      </c>
      <c r="Z105" s="24">
</c>
      <c r="AA105" s="26">
        <f>SUM(AA104:AA104)</f>
      </c>
      <c r="AB105" s="26">
        <f>SUM(AB104:AB104)</f>
      </c>
      <c r="AC105" s="26">
        <f>SUM(AC104:AC104)</f>
      </c>
      <c r="AD105" s="26">
        <f>SUM(AD104:AD104)</f>
      </c>
      <c r="AE105" s="26">
        <f>SUM(AE104:AE104)</f>
      </c>
      <c r="AF105" s="26">
        <f>SUM(AF104:AF104)</f>
      </c>
      <c r="AG105" s="26">
        <f>SUM(AG104:AG104)</f>
      </c>
      <c r="AH105" s="26">
        <f>SUM(AH104:AH104)</f>
      </c>
      <c r="AI105" s="26">
        <f>SUM(AI104:AI104)</f>
      </c>
      <c r="AJ105" s="24">
</c>
      <c r="AK105" s="24">
</c>
      <c r="AL105" s="24">
</c>
    </row>
    <row r="106">
</row>
    <row r="107">
      <c r="A107" s="28" t="s">
        <v>377</v>
      </c>
    </row>
  </sheetData>
  <mergeCells count="6">
    <mergeCell ref="A7:S7"/>
    <mergeCell ref="A8:S8"/>
    <mergeCell ref="A9:E9"/>
    <mergeCell ref="A10:E10"/>
    <mergeCell ref="M10:P10"/>
    <mergeCell ref="A1:D6"/>
  </mergeCells>
  <pageMargins left="0.75" right="0.75" top="1" bottom="1.0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 showGridLines="0">
      <selection activeCell="A1" sqref="A1"/>
    </sheetView>
  </sheetViews>
  <sheetFormatPr defaultRowHeight="12.8"/>
  <cols>
    <col min="1" max="1" width="50" customWidth="1"/>
    <col min="2" max="2" width="32" customWidth="1"/>
    <col min="3" max="3" width="32" customWidth="1"/>
    <col min="4" max="4" width="32" customWidth="1"/>
  </cols>
  <sheetData>
    <row r="1">
      <c r="A1" s="29" t="s">
        <v>378</v>
      </c>
    </row>
    <row r="2">
      <c r="A2" s="29" t="s">
        <v>379</v>
      </c>
    </row>
    <row r="3">
</row>
    <row r="4">
      <c r="A4" s="7" t="s">
        <v>6</v>
      </c>
      <c r="B4" s="7" t="s">
        <v>6</v>
      </c>
      <c r="C4" s="7" t="s">
        <v>6</v>
      </c>
      <c r="D4" s="16" t="s">
        <v>4</v>
      </c>
    </row>
    <row r="5">
</row>
    <row r="6">
      <c r="A6" s="29" t="s">
        <v>380</v>
      </c>
      <c r="D6" s="3" t="s">
        <v>3</v>
      </c>
    </row>
    <row r="7">
</row>
    <row r="8">
</row>
    <row r="9">
      <c r="A9" s="30" t="s">
        <v>381</v>
      </c>
      <c r="D9" s="16" t="s">
        <v>382</v>
      </c>
    </row>
    <row r="10">
      <c r="B10" s="31" t="s">
        <v>383</v>
      </c>
      <c r="C10" s="31" t="s">
        <v>384</v>
      </c>
      <c r="D10" s="31" t="s">
        <v>12</v>
      </c>
    </row>
    <row r="11">
      <c r="A11" s="29" t="s">
        <v>385</v>
      </c>
    </row>
    <row r="12">
      <c r="A12" s="32" t="s">
        <v>386</v>
      </c>
      <c r="B12" s="2">
        <f>D12/1.2</f>
      </c>
      <c r="C12" s="2">
        <f>B12*0.2</f>
      </c>
      <c r="D12" s="2">
        <f>-'2026-01-01 to 2026-01-31'!C14</f>
      </c>
    </row>
    <row r="13">
      <c r="A13" s="32" t="s">
        <v>387</v>
      </c>
      <c r="B13" s="2">
        <f>D13</f>
      </c>
      <c r="C13" s="2">
        <f>0</f>
      </c>
      <c r="D13" s="2">
        <f>-'2026-01-01 to 2026-01-31'!C16</f>
      </c>
    </row>
    <row r="14">
      <c r="A14" s="7" t="s">
        <v>388</v>
      </c>
      <c r="B14" s="8">
        <f>D14/1.2</f>
      </c>
      <c r="C14" s="8">
        <f>B14*0.2</f>
      </c>
      <c r="D14" s="8">
        <f>-'2026-01-01 to 2026-01-31'!C15</f>
      </c>
    </row>
    <row r="15">
      <c r="A15" s="29" t="s">
        <v>389</v>
      </c>
      <c r="B15" s="2">
        <f>SUM(B12:B14)</f>
      </c>
      <c r="C15" s="2">
        <f>SUM(C12:C14)</f>
      </c>
      <c r="D15" s="2">
        <f>SUM(D12:D14)</f>
      </c>
    </row>
    <row r="16">
</row>
    <row r="17">
      <c r="A17" s="27" t="s">
        <v>390</v>
      </c>
      <c r="B17" s="31" t="s">
        <v>383</v>
      </c>
      <c r="C17" s="31" t="s">
        <v>391</v>
      </c>
      <c r="D17" s="31" t="s">
        <v>12</v>
      </c>
    </row>
    <row r="18">
      <c r="A18" s="32" t="s">
        <v>392</v>
      </c>
      <c r="B18" s="2">
        <f>D18-C18</f>
      </c>
      <c r="C18" s="2">
        <f>'2026-01-01 to 2026-01-31'!K90+'2026-01-01 to 2026-01-31'!K105</f>
      </c>
      <c r="D18" s="2">
        <f>'2026-01-01 to 2026-01-31'!M90+'2026-01-01 to 2026-01-31'!M105</f>
      </c>
    </row>
    <row r="19">
      <c r="A19" s="32" t="s">
        <v>393</v>
      </c>
      <c r="B19" s="2">
        <f>D19-C19</f>
      </c>
      <c r="C19" s="2">
        <f>SUM('2026-01-01 to 2026-01-31'!V90, '2026-01-01 to 2026-01-31'!V105)</f>
      </c>
      <c r="D19" s="2">
        <f>-SUM('2026-01-01 to 2026-01-31'!U90, '2026-01-01 to 2026-01-31'!U105)</f>
      </c>
    </row>
    <row r="20">
      <c r="A20" s="32" t="s">
        <v>394</v>
      </c>
      <c r="B20" s="2">
        <f>D20-C20</f>
      </c>
      <c r="C20" s="2">
        <f>SUM('2026-01-01 to 2026-01-31'!P90, '2026-01-01 to 2026-01-31'!P105)</f>
      </c>
      <c r="D20" s="2">
        <f>SUM('2026-01-01 to 2026-01-31'!O90, '2026-01-01 to 2026-01-31'!O105)</f>
      </c>
    </row>
    <row r="21">
      <c r="A21" s="27" t="s">
        <v>395</v>
      </c>
      <c r="B21" s="33">
        <f>SUM(B18:B20)</f>
      </c>
      <c r="C21" s="33">
        <f>SUM(C18:C20)</f>
      </c>
      <c r="D21" s="33">
        <f>SUM(D18:D20)</f>
      </c>
    </row>
    <row r="22">
</row>
    <row r="23">
</row>
    <row r="24">
</row>
    <row r="25">
</row>
    <row r="26">
</row>
    <row r="27">
      <c r="C27" s="29" t="s">
        <v>396</v>
      </c>
      <c r="D27" s="34">
        <f>C15</f>
      </c>
    </row>
    <row r="28">
      <c r="C28" s="29" t="s">
        <v>397</v>
      </c>
      <c r="D28" s="34">
        <f>C20</f>
      </c>
    </row>
    <row r="29">
</row>
    <row r="30">
      <c r="A30" s="28" t="s">
        <v>398</v>
      </c>
    </row>
    <row r="31">
      <c r="A31" s="28" t="s">
        <v>399</v>
      </c>
    </row>
  </sheetData>
  <mergeCells count="2">
    <mergeCell ref="A1:D1"/>
    <mergeCell ref="A2:D2"/>
  </mergeCells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2026-02-14T10:15:57Z</dcterms:created>
  <dc:language>en-US</dc:language>
  <dcterms:modified xsi:type="dcterms:W3CDTF">2026-02-14T10:15:57Z</dcterms:modified>
  <cp:revision>1</cp:revision>
</cp:coreProperties>
</file>